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7" i="1" l="1"/>
  <c r="H106" i="1"/>
  <c r="H104" i="1"/>
  <c r="H103" i="1"/>
  <c r="H102" i="1"/>
  <c r="H100" i="1"/>
  <c r="H99" i="1"/>
  <c r="H98" i="1"/>
  <c r="H96" i="1"/>
  <c r="H95" i="1"/>
  <c r="H94" i="1"/>
  <c r="H93" i="1"/>
  <c r="H91" i="1"/>
  <c r="H90" i="1"/>
  <c r="H89" i="1"/>
  <c r="H87" i="1"/>
  <c r="H86" i="1"/>
  <c r="H85" i="1"/>
  <c r="H84" i="1"/>
  <c r="H83" i="1"/>
  <c r="H82" i="1"/>
  <c r="H81" i="1"/>
  <c r="H79" i="1"/>
  <c r="H78" i="1"/>
  <c r="H108" i="1"/>
  <c r="H109" i="1"/>
  <c r="H111" i="1"/>
  <c r="H112" i="1"/>
  <c r="H114" i="1"/>
  <c r="H115" i="1"/>
  <c r="H116" i="1"/>
  <c r="H117" i="1"/>
  <c r="H118" i="1"/>
  <c r="H119" i="1"/>
  <c r="H120" i="1"/>
  <c r="H121" i="1"/>
  <c r="H123" i="1"/>
  <c r="H124" i="1"/>
  <c r="H128" i="1"/>
  <c r="H129" i="1"/>
  <c r="H131" i="1"/>
  <c r="H132" i="1"/>
  <c r="H11" i="1" l="1"/>
  <c r="F133" i="1"/>
  <c r="G130" i="1"/>
  <c r="G127" i="1"/>
  <c r="G126" i="1"/>
  <c r="G125" i="1"/>
  <c r="G122" i="1"/>
  <c r="G113" i="1"/>
  <c r="G110" i="1"/>
  <c r="G105" i="1"/>
  <c r="G101" i="1"/>
  <c r="G97" i="1"/>
  <c r="G88" i="1"/>
  <c r="H76" i="1"/>
  <c r="H77" i="1"/>
  <c r="H75" i="1"/>
  <c r="H74" i="1"/>
  <c r="H73" i="1"/>
  <c r="H72" i="1"/>
  <c r="H71" i="1"/>
  <c r="H70" i="1"/>
  <c r="H19" i="1" l="1"/>
  <c r="H4" i="1" l="1"/>
  <c r="H5" i="1"/>
  <c r="H6" i="1"/>
  <c r="H7" i="1"/>
  <c r="H8" i="1"/>
  <c r="H9" i="1"/>
  <c r="H10" i="1"/>
  <c r="H12" i="1"/>
  <c r="H13" i="1"/>
  <c r="H14" i="1"/>
  <c r="H15" i="1"/>
  <c r="H16" i="1"/>
  <c r="H17" i="1"/>
  <c r="H18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3" i="1"/>
  <c r="G80" i="1"/>
  <c r="H133" i="1" l="1"/>
  <c r="G133" i="1"/>
</calcChain>
</file>

<file path=xl/sharedStrings.xml><?xml version="1.0" encoding="utf-8"?>
<sst xmlns="http://schemas.openxmlformats.org/spreadsheetml/2006/main" count="404" uniqueCount="223">
  <si>
    <t xml:space="preserve">NAME </t>
  </si>
  <si>
    <t>ADDRESS</t>
  </si>
  <si>
    <t>DATE</t>
  </si>
  <si>
    <t>INVOICE NO</t>
  </si>
  <si>
    <t>TOTAL</t>
  </si>
  <si>
    <t>RECEIVED</t>
  </si>
  <si>
    <t>PAYABLE</t>
  </si>
  <si>
    <t>SIVA STORES</t>
  </si>
  <si>
    <t>MANDAN</t>
  </si>
  <si>
    <t>K S T FRESH JUICE</t>
  </si>
  <si>
    <t>KILAVITHODDAM</t>
  </si>
  <si>
    <t>20.12.2024</t>
  </si>
  <si>
    <t>23.12.2024</t>
  </si>
  <si>
    <t>VINAYAGAR STORES</t>
  </si>
  <si>
    <t>MALUSANTHI</t>
  </si>
  <si>
    <t>KABISHAN STORES</t>
  </si>
  <si>
    <t>YAKKARU</t>
  </si>
  <si>
    <t>27.12.2024</t>
  </si>
  <si>
    <t>GANESH STORES</t>
  </si>
  <si>
    <t>THUMPALAI</t>
  </si>
  <si>
    <t>04.01.2025</t>
  </si>
  <si>
    <t>SITHAMPARANATHAN MULTY SHOP</t>
  </si>
  <si>
    <t>06.01.2025</t>
  </si>
  <si>
    <t>THAMPASIDDY</t>
  </si>
  <si>
    <t>JASWANTH STORES</t>
  </si>
  <si>
    <t>SUPER MADAM</t>
  </si>
  <si>
    <t>H.B SUPER MARKET</t>
  </si>
  <si>
    <t>KUDATHANAI</t>
  </si>
  <si>
    <t>10.01.2025</t>
  </si>
  <si>
    <t>AMMA STORES</t>
  </si>
  <si>
    <t>MANALKADU</t>
  </si>
  <si>
    <t>KARANAVAI</t>
  </si>
  <si>
    <t>13.01.2025</t>
  </si>
  <si>
    <t>ESWARA STORES</t>
  </si>
  <si>
    <t>ARASADI</t>
  </si>
  <si>
    <t>15.01.2025</t>
  </si>
  <si>
    <t>RIMISHA STORES</t>
  </si>
  <si>
    <t>VARATHUPALAI</t>
  </si>
  <si>
    <t>18.01.2025</t>
  </si>
  <si>
    <t>RUBAN STORES</t>
  </si>
  <si>
    <t>21.01.2025</t>
  </si>
  <si>
    <t>MUTHTHUMARI STORES</t>
  </si>
  <si>
    <t>UDUPPITTY</t>
  </si>
  <si>
    <t>28.01.2025</t>
  </si>
  <si>
    <t>MYLARASAN STORES</t>
  </si>
  <si>
    <t>IYAKKACHCHI</t>
  </si>
  <si>
    <t>29.01.2025</t>
  </si>
  <si>
    <t>RAJAN STORES</t>
  </si>
  <si>
    <t>PALAN STORES</t>
  </si>
  <si>
    <t>31.01.2025</t>
  </si>
  <si>
    <t>SUN STORES</t>
  </si>
  <si>
    <t>POINT PEDRO</t>
  </si>
  <si>
    <t>01.02.2025</t>
  </si>
  <si>
    <t>KUMAR STORES</t>
  </si>
  <si>
    <t>03.02.2025</t>
  </si>
  <si>
    <t>SUKIRTHAN STORES</t>
  </si>
  <si>
    <t>06.02.2025</t>
  </si>
  <si>
    <t>JAYALANE STORES</t>
  </si>
  <si>
    <t>07.02.2025</t>
  </si>
  <si>
    <t>KAVI STORES</t>
  </si>
  <si>
    <t>VIGNESWARA ROAD</t>
  </si>
  <si>
    <t>AMUTHA SURAPI STORES</t>
  </si>
  <si>
    <t>KARAVEDDY</t>
  </si>
  <si>
    <t>THEEBIKA MULTY SHOP</t>
  </si>
  <si>
    <t>10.02.2025</t>
  </si>
  <si>
    <t>DSR BAKEERATHAN</t>
  </si>
  <si>
    <t>NELLIADY</t>
  </si>
  <si>
    <t>11.02.2025</t>
  </si>
  <si>
    <t>RIYA STORES</t>
  </si>
  <si>
    <t>13.02.2025</t>
  </si>
  <si>
    <t>INPA STORES</t>
  </si>
  <si>
    <t>KODIKAMAM</t>
  </si>
  <si>
    <t>ROSHAN STORES</t>
  </si>
  <si>
    <t>14.02.2025</t>
  </si>
  <si>
    <t>NAGAMMA STORES</t>
  </si>
  <si>
    <t>VIJAPARIMOOLAI</t>
  </si>
  <si>
    <t>17.02.2025</t>
  </si>
  <si>
    <t>KALIKAI</t>
  </si>
  <si>
    <t>18.02.2025</t>
  </si>
  <si>
    <t>PILLLAIYAR STORES</t>
  </si>
  <si>
    <t>ANNAI MUTHTHUMARI STORES</t>
  </si>
  <si>
    <t>ALVAI</t>
  </si>
  <si>
    <t>RASA STORES</t>
  </si>
  <si>
    <t>19.02.2025</t>
  </si>
  <si>
    <t>MARIYAMMAN STORES</t>
  </si>
  <si>
    <t>ABISHAN SUPER MARKET</t>
  </si>
  <si>
    <t>20.02.2025</t>
  </si>
  <si>
    <t>AKASH STORES</t>
  </si>
  <si>
    <t>NAGARKOVIL</t>
  </si>
  <si>
    <t>AMI STORES</t>
  </si>
  <si>
    <t>NIVEKKA MULTY SHOP</t>
  </si>
  <si>
    <t>21.02.2025</t>
  </si>
  <si>
    <t>SIVASKTHI STORES</t>
  </si>
  <si>
    <t>22.02.2025</t>
  </si>
  <si>
    <t>SRI SAJEE STORES</t>
  </si>
  <si>
    <t>GOWRI STORES</t>
  </si>
  <si>
    <t>VALLIPURAM</t>
  </si>
  <si>
    <t>24.02.2025</t>
  </si>
  <si>
    <t>SURESH STORES</t>
  </si>
  <si>
    <t>SIYAM STORES</t>
  </si>
  <si>
    <t>ARUNA STORES</t>
  </si>
  <si>
    <t>MAYAVAN SUVAIYAGAM</t>
  </si>
  <si>
    <t>MANTHIKAI</t>
  </si>
  <si>
    <t>25.02.2025</t>
  </si>
  <si>
    <t>ARUNTHU STORES</t>
  </si>
  <si>
    <t>THUNNALAI</t>
  </si>
  <si>
    <t>E S A STORES</t>
  </si>
  <si>
    <t>BALA CHANDRAN STORES</t>
  </si>
  <si>
    <t>27.02.2025</t>
  </si>
  <si>
    <t>LATHUSAN STORES</t>
  </si>
  <si>
    <t>PULOLI</t>
  </si>
  <si>
    <t>KANIWOOD STORES</t>
  </si>
  <si>
    <t>THE PENSAN STORES</t>
  </si>
  <si>
    <t>28.02.2025</t>
  </si>
  <si>
    <t>LAKEESAN STORES</t>
  </si>
  <si>
    <t>KATKOVALAM</t>
  </si>
  <si>
    <t>01.03.2025</t>
  </si>
  <si>
    <t>SURAPI STORES</t>
  </si>
  <si>
    <t>ACSARA FOOD CORNER</t>
  </si>
  <si>
    <t>03.03.2025</t>
  </si>
  <si>
    <t>CHANTHIRA STORES</t>
  </si>
  <si>
    <t>ANSANEJA STORES</t>
  </si>
  <si>
    <t>06.03.2025</t>
  </si>
  <si>
    <t>04.03.2025</t>
  </si>
  <si>
    <t>T PRAVEEN GROCERY &amp; STATIONERY</t>
  </si>
  <si>
    <t>PULOMINA STORES</t>
  </si>
  <si>
    <t>08.03.2025</t>
  </si>
  <si>
    <t>FISHERMANS FRIEND FILLING STATION</t>
  </si>
  <si>
    <t>10.03.2025</t>
  </si>
  <si>
    <t>ROHINI STORES</t>
  </si>
  <si>
    <t>ABINAYA STORES</t>
  </si>
  <si>
    <t>12.03.2025</t>
  </si>
  <si>
    <t>NILA PUGAL STORES</t>
  </si>
  <si>
    <t>13.03.2025</t>
  </si>
  <si>
    <t>GOWTHAM STORES</t>
  </si>
  <si>
    <t>14.03.2025</t>
  </si>
  <si>
    <t>DINOSAN STORES</t>
  </si>
  <si>
    <t>15.03.2025</t>
  </si>
  <si>
    <t>S.T.M STORES</t>
  </si>
  <si>
    <t>ODAKKARAI</t>
  </si>
  <si>
    <t>17.03.2025</t>
  </si>
  <si>
    <t>SB.8786</t>
  </si>
  <si>
    <t>LUXMY STORES</t>
  </si>
  <si>
    <t>SB.8787</t>
  </si>
  <si>
    <t>NO</t>
  </si>
  <si>
    <t>KEERTHTHIKA STORES</t>
  </si>
  <si>
    <t>SATTHIYAMOORTHI STORES</t>
  </si>
  <si>
    <t>INPACITY</t>
  </si>
  <si>
    <t>SB 8788</t>
  </si>
  <si>
    <t>PILLAYAR STORES</t>
  </si>
  <si>
    <t>THAMPASITY</t>
  </si>
  <si>
    <t>SB 8789</t>
  </si>
  <si>
    <t>CAREMAY MULTY PLACE</t>
  </si>
  <si>
    <t>THE PENSON STORES</t>
  </si>
  <si>
    <t>MANATKADU</t>
  </si>
  <si>
    <t>KUMANA STORES</t>
  </si>
  <si>
    <t>KEERTHIKA STORES</t>
  </si>
  <si>
    <t>THANSIKA STORES</t>
  </si>
  <si>
    <t>MAMUNAI</t>
  </si>
  <si>
    <t>APPU STORES</t>
  </si>
  <si>
    <t>PRAGASH STORES</t>
  </si>
  <si>
    <t>E.S.A STORES</t>
  </si>
  <si>
    <t>SUPERMADAM</t>
  </si>
  <si>
    <t>S T AMMAN STORES</t>
  </si>
  <si>
    <t>KUDATHTHANAI</t>
  </si>
  <si>
    <t>ARASADY</t>
  </si>
  <si>
    <t>NAMILAD STORES</t>
  </si>
  <si>
    <t>DINU STORES</t>
  </si>
  <si>
    <t>S S SPICY</t>
  </si>
  <si>
    <t>AMUTHASURABI</t>
  </si>
  <si>
    <t>NACHCHIMAR PALPORUL NILAYAM</t>
  </si>
  <si>
    <t>VADAMUNAI STORES</t>
  </si>
  <si>
    <t>BEACH RD PPT</t>
  </si>
  <si>
    <t>VIYAPARIMOOLAI</t>
  </si>
  <si>
    <t>BLUE BIRDS HOTEL</t>
  </si>
  <si>
    <t>MAYOORAN STORES</t>
  </si>
  <si>
    <t>NATHAN STORES</t>
  </si>
  <si>
    <t>MATHTHONI</t>
  </si>
  <si>
    <t>REECHA ORGANIC FARM</t>
  </si>
  <si>
    <t>KANNAN STORES</t>
  </si>
  <si>
    <t>DEVI BAKERY</t>
  </si>
  <si>
    <t>S T M STORES</t>
  </si>
  <si>
    <t>S.K.P NITHARSAN STORES</t>
  </si>
  <si>
    <t>CHEMPIYANPATTU</t>
  </si>
  <si>
    <t>KIRISHNA STORES</t>
  </si>
  <si>
    <t>SIMIRNA STORES</t>
  </si>
  <si>
    <t>UDUPIDDY</t>
  </si>
  <si>
    <t>AGARAM STORES</t>
  </si>
  <si>
    <t>18.03.2025</t>
  </si>
  <si>
    <t>20.03.2025</t>
  </si>
  <si>
    <t>21.03.2025</t>
  </si>
  <si>
    <t>22.03.2025</t>
  </si>
  <si>
    <t>24.03.2025</t>
  </si>
  <si>
    <t>25.03.2025</t>
  </si>
  <si>
    <t>27.03.2025</t>
  </si>
  <si>
    <t>29.03.2025</t>
  </si>
  <si>
    <t>39.03.2025</t>
  </si>
  <si>
    <t>31.03.2025</t>
  </si>
  <si>
    <t>01.04.2025</t>
  </si>
  <si>
    <t>03.04.2025</t>
  </si>
  <si>
    <t>04.04.2025</t>
  </si>
  <si>
    <t>05.04.2025</t>
  </si>
  <si>
    <t>07.04.2025</t>
  </si>
  <si>
    <t>08.04.2025</t>
  </si>
  <si>
    <t>10.04.2025</t>
  </si>
  <si>
    <t>11.04.2025</t>
  </si>
  <si>
    <t>12.04.2025</t>
  </si>
  <si>
    <t>15.04.2025</t>
  </si>
  <si>
    <t>16.04.2025</t>
  </si>
  <si>
    <t>17.04.2025</t>
  </si>
  <si>
    <t>18.04.2025</t>
  </si>
  <si>
    <t>19.04.2025</t>
  </si>
  <si>
    <t>21.04.2025</t>
  </si>
  <si>
    <t>22.04.2025</t>
  </si>
  <si>
    <t>24.04.2025</t>
  </si>
  <si>
    <t>29.04.2025</t>
  </si>
  <si>
    <t>30.04.2025</t>
  </si>
  <si>
    <t>06.05.2025</t>
  </si>
  <si>
    <t>10.05.2025</t>
  </si>
  <si>
    <t>17.05.2025</t>
  </si>
  <si>
    <t>19.05.2025</t>
  </si>
  <si>
    <t>AMUTHA SURABI</t>
  </si>
  <si>
    <t>20.12.2024-28.05.2025 INVOICE DETAILS (BAKEERATHAN)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</si>
</sst>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m/d/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3" fillId="0" borderId="1" xfId="0" applyFont="1" applyBorder="1"/>
    <xf numFmtId="0" fontId="0" fillId="0" borderId="1" xfId="0" applyBorder="1" applyAlignment="1">
      <alignment horizontal="right"/>
    </xf>
    <xf numFmtId="14" fontId="0" fillId="0" borderId="1" xfId="0" applyNumberFormat="1" applyBorder="1"/>
    <xf numFmtId="165" fontId="0" fillId="0" borderId="1" xfId="0" applyNumberFormat="1" applyBorder="1"/>
    <xf numFmtId="164" fontId="0" fillId="0" borderId="1" xfId="0" applyNumberFormat="1" applyBorder="1"/>
    <xf numFmtId="164" fontId="0" fillId="0" borderId="1" xfId="1" applyFont="1" applyBorder="1"/>
    <xf numFmtId="164" fontId="3" fillId="0" borderId="1" xfId="0" applyNumberFormat="1" applyFont="1" applyBorder="1"/>
    <xf numFmtId="0" fontId="2" fillId="0" borderId="0" xfId="0" applyFont="1"/>
    <xf numFmtId="164" fontId="0" fillId="2" borderId="1" xfId="0" applyNumberFormat="1" applyFill="1" applyBorder="1"/>
    <xf numFmtId="164" fontId="0" fillId="2" borderId="1" xfId="1" applyFont="1" applyFill="1" applyBorder="1"/>
    <xf numFmtId="164" fontId="6" fillId="2" borderId="1" xfId="0" applyNumberFormat="1" applyFont="1" applyFill="1" applyBorder="1"/>
    <xf numFmtId="164" fontId="6" fillId="2" borderId="1" xfId="1" applyFont="1" applyFill="1" applyBorder="1"/>
    <xf numFmtId="0" fontId="5" fillId="0" borderId="1" xfId="0" applyFont="1" applyBorder="1" applyAlignment="1">
      <alignment horizontal="center"/>
    </xf>
    <xf numFmtId="164" fontId="0" fillId="0" borderId="3" xfId="1" applyFont="1" applyFill="1" applyBorder="1"/>
    <xf numFmtId="164" fontId="0" fillId="0" borderId="3" xfId="0" applyNumberFormat="1" applyFill="1" applyBorder="1"/>
    <xf numFmtId="164" fontId="0" fillId="0" borderId="0" xfId="1" applyFont="1" applyFill="1" applyBorder="1"/>
    <xf numFmtId="164" fontId="0" fillId="0" borderId="0" xfId="0" applyNumberFormat="1" applyFill="1" applyBorder="1"/>
    <xf numFmtId="0" fontId="4" fillId="0" borderId="2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3"/>
  <sheetViews>
    <sheetView tabSelected="1" topLeftCell="B118" workbookViewId="0">
      <selection activeCell="G137" sqref="G137"/>
    </sheetView>
  </sheetViews>
  <sheetFormatPr defaultRowHeight="15" x14ac:dyDescent="0.25"/>
  <cols>
    <col min="1" max="1" width="3.85546875" bestFit="1" customWidth="1"/>
    <col min="2" max="2" width="34" customWidth="1"/>
    <col min="3" max="3" width="19" bestFit="1" customWidth="1"/>
    <col min="4" max="4" width="10.140625" bestFit="1" customWidth="1"/>
    <col min="5" max="5" width="12.5703125" bestFit="1" customWidth="1"/>
    <col min="6" max="8" width="13.28515625" bestFit="1" customWidth="1"/>
    <col min="10" max="10" width="10.5703125" bestFit="1" customWidth="1"/>
  </cols>
  <sheetData>
    <row r="1" spans="1:14" ht="18.75" x14ac:dyDescent="0.3">
      <c r="A1" s="19" t="s">
        <v>222</v>
      </c>
      <c r="B1" s="19"/>
      <c r="C1" s="19"/>
      <c r="D1" s="19"/>
      <c r="E1" s="19"/>
      <c r="F1" s="19"/>
      <c r="G1" s="19"/>
      <c r="H1" s="19"/>
    </row>
    <row r="2" spans="1:14" ht="15.75" x14ac:dyDescent="0.25">
      <c r="A2" s="14" t="s">
        <v>144</v>
      </c>
      <c r="B2" s="14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G2" s="14" t="s">
        <v>5</v>
      </c>
      <c r="H2" s="14" t="s">
        <v>6</v>
      </c>
    </row>
    <row r="3" spans="1:14" x14ac:dyDescent="0.25">
      <c r="A3" s="1">
        <v>1</v>
      </c>
      <c r="B3" s="1" t="s">
        <v>7</v>
      </c>
      <c r="C3" s="1" t="s">
        <v>8</v>
      </c>
      <c r="D3" s="4" t="s">
        <v>11</v>
      </c>
      <c r="E3" s="3">
        <v>240003662</v>
      </c>
      <c r="F3" s="6">
        <v>19530</v>
      </c>
      <c r="G3" s="6">
        <v>14802</v>
      </c>
      <c r="H3" s="6">
        <f>F3-G3</f>
        <v>4728</v>
      </c>
      <c r="J3" s="16">
        <v>4728</v>
      </c>
    </row>
    <row r="4" spans="1:14" x14ac:dyDescent="0.25">
      <c r="A4" s="1">
        <v>2</v>
      </c>
      <c r="B4" s="1" t="s">
        <v>9</v>
      </c>
      <c r="C4" s="1" t="s">
        <v>10</v>
      </c>
      <c r="D4" s="4" t="s">
        <v>12</v>
      </c>
      <c r="E4" s="3">
        <v>24003692</v>
      </c>
      <c r="F4" s="6">
        <v>8500</v>
      </c>
      <c r="G4" s="6">
        <v>6108</v>
      </c>
      <c r="H4" s="6">
        <f t="shared" ref="H4:H67" si="0">F4-G4</f>
        <v>2392</v>
      </c>
      <c r="J4" s="16">
        <v>4392</v>
      </c>
    </row>
    <row r="5" spans="1:14" x14ac:dyDescent="0.25">
      <c r="A5" s="1">
        <v>3</v>
      </c>
      <c r="B5" s="1" t="s">
        <v>13</v>
      </c>
      <c r="C5" s="1" t="s">
        <v>14</v>
      </c>
      <c r="D5" s="4" t="s">
        <v>12</v>
      </c>
      <c r="E5" s="3">
        <v>24003689</v>
      </c>
      <c r="F5" s="6">
        <v>15568</v>
      </c>
      <c r="G5" s="6">
        <v>13560</v>
      </c>
      <c r="H5" s="6">
        <f t="shared" si="0"/>
        <v>2008</v>
      </c>
      <c r="J5" s="16">
        <v>2036</v>
      </c>
    </row>
    <row r="6" spans="1:14" x14ac:dyDescent="0.25">
      <c r="A6" s="1">
        <v>4</v>
      </c>
      <c r="B6" s="1" t="s">
        <v>15</v>
      </c>
      <c r="C6" s="1" t="s">
        <v>16</v>
      </c>
      <c r="D6" s="4" t="s">
        <v>17</v>
      </c>
      <c r="E6" s="3">
        <v>24003722</v>
      </c>
      <c r="F6" s="6">
        <v>149652</v>
      </c>
      <c r="G6" s="6">
        <v>148652</v>
      </c>
      <c r="H6" s="10">
        <f t="shared" si="0"/>
        <v>1000</v>
      </c>
    </row>
    <row r="7" spans="1:14" x14ac:dyDescent="0.25">
      <c r="A7" s="1">
        <v>5</v>
      </c>
      <c r="B7" s="1" t="s">
        <v>18</v>
      </c>
      <c r="C7" s="1" t="s">
        <v>19</v>
      </c>
      <c r="D7" s="4" t="s">
        <v>20</v>
      </c>
      <c r="E7" s="3">
        <v>25039</v>
      </c>
      <c r="F7" s="6">
        <v>3348</v>
      </c>
      <c r="G7" s="6">
        <v>2000</v>
      </c>
      <c r="H7" s="10">
        <f t="shared" si="0"/>
        <v>1348</v>
      </c>
      <c r="J7" s="18">
        <v>1348</v>
      </c>
    </row>
    <row r="8" spans="1:14" x14ac:dyDescent="0.25">
      <c r="A8" s="1">
        <v>6</v>
      </c>
      <c r="B8" s="1" t="s">
        <v>21</v>
      </c>
      <c r="C8" s="1" t="s">
        <v>23</v>
      </c>
      <c r="D8" s="4" t="s">
        <v>22</v>
      </c>
      <c r="E8" s="3">
        <v>25049</v>
      </c>
      <c r="F8" s="6">
        <v>33574</v>
      </c>
      <c r="G8" s="6">
        <v>33236</v>
      </c>
      <c r="H8" s="10">
        <f t="shared" si="0"/>
        <v>338</v>
      </c>
      <c r="J8">
        <v>338</v>
      </c>
    </row>
    <row r="9" spans="1:14" x14ac:dyDescent="0.25">
      <c r="A9" s="1">
        <v>7</v>
      </c>
      <c r="B9" s="1" t="s">
        <v>24</v>
      </c>
      <c r="C9" s="1" t="s">
        <v>25</v>
      </c>
      <c r="D9" s="4" t="s">
        <v>22</v>
      </c>
      <c r="E9" s="3">
        <v>25053</v>
      </c>
      <c r="F9" s="6">
        <v>14778</v>
      </c>
      <c r="G9" s="6">
        <v>14278</v>
      </c>
      <c r="H9" s="10">
        <f t="shared" si="0"/>
        <v>500</v>
      </c>
      <c r="J9">
        <v>500</v>
      </c>
    </row>
    <row r="10" spans="1:14" x14ac:dyDescent="0.25">
      <c r="A10" s="1">
        <v>8</v>
      </c>
      <c r="B10" s="1" t="s">
        <v>26</v>
      </c>
      <c r="C10" s="1" t="s">
        <v>27</v>
      </c>
      <c r="D10" s="4" t="s">
        <v>28</v>
      </c>
      <c r="E10" s="3">
        <v>25072</v>
      </c>
      <c r="F10" s="6">
        <v>54237</v>
      </c>
      <c r="G10" s="6">
        <v>49237</v>
      </c>
      <c r="H10" s="10">
        <f t="shared" si="0"/>
        <v>5000</v>
      </c>
      <c r="N10">
        <v>7500</v>
      </c>
    </row>
    <row r="11" spans="1:14" x14ac:dyDescent="0.25">
      <c r="A11" s="1">
        <v>9</v>
      </c>
      <c r="B11" s="1" t="s">
        <v>29</v>
      </c>
      <c r="C11" s="1" t="s">
        <v>30</v>
      </c>
      <c r="D11" s="4" t="s">
        <v>28</v>
      </c>
      <c r="E11" s="3">
        <v>25077</v>
      </c>
      <c r="F11" s="6">
        <v>6138</v>
      </c>
      <c r="G11" s="6">
        <v>0</v>
      </c>
      <c r="H11" s="10">
        <f t="shared" si="0"/>
        <v>6138</v>
      </c>
      <c r="J11">
        <v>6138</v>
      </c>
      <c r="N11">
        <v>17000</v>
      </c>
    </row>
    <row r="12" spans="1:14" x14ac:dyDescent="0.25">
      <c r="A12" s="1">
        <v>10</v>
      </c>
      <c r="B12" s="1" t="s">
        <v>7</v>
      </c>
      <c r="C12" s="1" t="s">
        <v>31</v>
      </c>
      <c r="D12" s="4" t="s">
        <v>32</v>
      </c>
      <c r="E12" s="3">
        <v>250116</v>
      </c>
      <c r="F12" s="6">
        <v>32140</v>
      </c>
      <c r="G12" s="6">
        <v>26140</v>
      </c>
      <c r="H12" s="10">
        <f t="shared" si="0"/>
        <v>6000</v>
      </c>
      <c r="J12">
        <v>6000</v>
      </c>
    </row>
    <row r="13" spans="1:14" x14ac:dyDescent="0.25">
      <c r="A13" s="1">
        <v>11</v>
      </c>
      <c r="B13" s="1" t="s">
        <v>33</v>
      </c>
      <c r="C13" s="1" t="s">
        <v>34</v>
      </c>
      <c r="D13" s="4" t="s">
        <v>35</v>
      </c>
      <c r="E13" s="3">
        <v>250121</v>
      </c>
      <c r="F13" s="6">
        <v>6696</v>
      </c>
      <c r="G13" s="6">
        <v>4696</v>
      </c>
      <c r="H13" s="10">
        <f t="shared" si="0"/>
        <v>2000</v>
      </c>
      <c r="J13">
        <v>500</v>
      </c>
    </row>
    <row r="14" spans="1:14" x14ac:dyDescent="0.25">
      <c r="A14" s="1">
        <v>12</v>
      </c>
      <c r="B14" s="1" t="s">
        <v>36</v>
      </c>
      <c r="C14" s="1" t="s">
        <v>37</v>
      </c>
      <c r="D14" s="4" t="s">
        <v>38</v>
      </c>
      <c r="E14" s="3">
        <v>250160</v>
      </c>
      <c r="F14" s="6">
        <v>7365</v>
      </c>
      <c r="G14" s="6">
        <v>4365</v>
      </c>
      <c r="H14" s="10">
        <f t="shared" si="0"/>
        <v>3000</v>
      </c>
      <c r="J14">
        <v>3000</v>
      </c>
    </row>
    <row r="15" spans="1:14" x14ac:dyDescent="0.25">
      <c r="A15" s="1">
        <v>13</v>
      </c>
      <c r="B15" s="1" t="s">
        <v>39</v>
      </c>
      <c r="C15" s="1" t="s">
        <v>19</v>
      </c>
      <c r="D15" s="4" t="s">
        <v>40</v>
      </c>
      <c r="E15" s="3">
        <v>250157</v>
      </c>
      <c r="F15" s="6">
        <v>8035</v>
      </c>
      <c r="G15" s="6">
        <v>6035</v>
      </c>
      <c r="H15" s="10">
        <f t="shared" si="0"/>
        <v>2000</v>
      </c>
      <c r="J15">
        <v>2000</v>
      </c>
    </row>
    <row r="16" spans="1:14" x14ac:dyDescent="0.25">
      <c r="A16" s="1">
        <v>14</v>
      </c>
      <c r="B16" s="1" t="s">
        <v>41</v>
      </c>
      <c r="C16" s="1" t="s">
        <v>42</v>
      </c>
      <c r="D16" s="4" t="s">
        <v>43</v>
      </c>
      <c r="E16" s="3">
        <v>250221</v>
      </c>
      <c r="F16" s="6">
        <v>24219</v>
      </c>
      <c r="G16" s="6">
        <v>23538</v>
      </c>
      <c r="H16" s="10">
        <f t="shared" si="0"/>
        <v>681</v>
      </c>
      <c r="J16">
        <v>681</v>
      </c>
    </row>
    <row r="17" spans="1:13" x14ac:dyDescent="0.25">
      <c r="A17" s="1">
        <v>15</v>
      </c>
      <c r="B17" s="1" t="s">
        <v>44</v>
      </c>
      <c r="C17" s="1" t="s">
        <v>45</v>
      </c>
      <c r="D17" s="4" t="s">
        <v>46</v>
      </c>
      <c r="E17" s="3">
        <v>250243</v>
      </c>
      <c r="F17" s="6">
        <v>3348</v>
      </c>
      <c r="G17" s="6">
        <v>3340</v>
      </c>
      <c r="H17" s="10">
        <f t="shared" si="0"/>
        <v>8</v>
      </c>
    </row>
    <row r="18" spans="1:13" x14ac:dyDescent="0.25">
      <c r="A18" s="1">
        <v>16</v>
      </c>
      <c r="B18" s="1" t="s">
        <v>47</v>
      </c>
      <c r="C18" s="1" t="s">
        <v>23</v>
      </c>
      <c r="D18" s="4" t="s">
        <v>46</v>
      </c>
      <c r="E18" s="3">
        <v>250225</v>
      </c>
      <c r="F18" s="6">
        <v>12071</v>
      </c>
      <c r="G18" s="6">
        <v>11761</v>
      </c>
      <c r="H18" s="10">
        <f t="shared" si="0"/>
        <v>310</v>
      </c>
      <c r="J18">
        <v>310</v>
      </c>
    </row>
    <row r="19" spans="1:13" x14ac:dyDescent="0.25">
      <c r="A19" s="1">
        <v>17</v>
      </c>
      <c r="B19" s="1" t="s">
        <v>48</v>
      </c>
      <c r="C19" s="1" t="s">
        <v>8</v>
      </c>
      <c r="D19" s="4" t="s">
        <v>49</v>
      </c>
      <c r="E19" s="3">
        <v>250255</v>
      </c>
      <c r="F19" s="6">
        <v>17452</v>
      </c>
      <c r="G19" s="6">
        <v>15452</v>
      </c>
      <c r="H19" s="10">
        <f t="shared" si="0"/>
        <v>2000</v>
      </c>
    </row>
    <row r="20" spans="1:13" x14ac:dyDescent="0.25">
      <c r="A20" s="1">
        <v>18</v>
      </c>
      <c r="B20" s="1" t="s">
        <v>50</v>
      </c>
      <c r="C20" s="1" t="s">
        <v>51</v>
      </c>
      <c r="D20" s="4" t="s">
        <v>52</v>
      </c>
      <c r="E20" s="3">
        <v>250273</v>
      </c>
      <c r="F20" s="6">
        <v>4986</v>
      </c>
      <c r="G20" s="6">
        <v>2754</v>
      </c>
      <c r="H20" s="10">
        <f t="shared" si="0"/>
        <v>2232</v>
      </c>
    </row>
    <row r="21" spans="1:13" x14ac:dyDescent="0.25">
      <c r="A21" s="1">
        <v>19</v>
      </c>
      <c r="B21" s="1" t="s">
        <v>53</v>
      </c>
      <c r="C21" s="1" t="s">
        <v>51</v>
      </c>
      <c r="D21" s="4" t="s">
        <v>54</v>
      </c>
      <c r="E21" s="3">
        <v>250291</v>
      </c>
      <c r="F21" s="6">
        <v>8073</v>
      </c>
      <c r="G21" s="6">
        <v>7073</v>
      </c>
      <c r="H21" s="10">
        <f t="shared" si="0"/>
        <v>1000</v>
      </c>
      <c r="J21">
        <v>1000</v>
      </c>
    </row>
    <row r="22" spans="1:13" x14ac:dyDescent="0.25">
      <c r="A22" s="1">
        <v>20</v>
      </c>
      <c r="B22" s="1" t="s">
        <v>55</v>
      </c>
      <c r="C22" s="1" t="s">
        <v>19</v>
      </c>
      <c r="D22" s="4" t="s">
        <v>56</v>
      </c>
      <c r="E22" s="3">
        <v>250315</v>
      </c>
      <c r="F22" s="6">
        <v>3348</v>
      </c>
      <c r="G22" s="6">
        <v>0</v>
      </c>
      <c r="H22" s="10">
        <f t="shared" si="0"/>
        <v>3348</v>
      </c>
      <c r="J22">
        <v>3348</v>
      </c>
      <c r="M22">
        <v>4035</v>
      </c>
    </row>
    <row r="23" spans="1:13" x14ac:dyDescent="0.25">
      <c r="A23" s="1">
        <v>21</v>
      </c>
      <c r="B23" s="1" t="s">
        <v>57</v>
      </c>
      <c r="C23" s="1" t="s">
        <v>8</v>
      </c>
      <c r="D23" s="4" t="s">
        <v>58</v>
      </c>
      <c r="E23" s="3">
        <v>250318</v>
      </c>
      <c r="F23" s="6">
        <v>7812</v>
      </c>
      <c r="G23" s="6">
        <v>4812</v>
      </c>
      <c r="H23" s="10">
        <f t="shared" si="0"/>
        <v>3000</v>
      </c>
      <c r="J23">
        <v>3000</v>
      </c>
      <c r="M23">
        <v>3619</v>
      </c>
    </row>
    <row r="24" spans="1:13" x14ac:dyDescent="0.25">
      <c r="A24" s="1">
        <v>22</v>
      </c>
      <c r="B24" s="1" t="s">
        <v>59</v>
      </c>
      <c r="C24" s="1" t="s">
        <v>60</v>
      </c>
      <c r="D24" s="4" t="s">
        <v>58</v>
      </c>
      <c r="E24" s="3">
        <v>250332</v>
      </c>
      <c r="F24" s="6">
        <v>37656</v>
      </c>
      <c r="G24" s="6">
        <v>17009</v>
      </c>
      <c r="H24" s="10">
        <f t="shared" si="0"/>
        <v>20647</v>
      </c>
      <c r="J24">
        <v>20645</v>
      </c>
      <c r="M24">
        <v>1210</v>
      </c>
    </row>
    <row r="25" spans="1:13" x14ac:dyDescent="0.25">
      <c r="A25" s="1">
        <v>23</v>
      </c>
      <c r="B25" s="1" t="s">
        <v>61</v>
      </c>
      <c r="C25" s="1" t="s">
        <v>62</v>
      </c>
      <c r="D25" s="4" t="s">
        <v>58</v>
      </c>
      <c r="E25" s="3">
        <v>250324</v>
      </c>
      <c r="F25" s="6">
        <v>20182</v>
      </c>
      <c r="G25" s="6">
        <v>20000</v>
      </c>
      <c r="H25" s="10">
        <f t="shared" si="0"/>
        <v>182</v>
      </c>
      <c r="J25">
        <v>182</v>
      </c>
    </row>
    <row r="26" spans="1:13" x14ac:dyDescent="0.25">
      <c r="A26" s="1">
        <v>24</v>
      </c>
      <c r="B26" s="1" t="s">
        <v>63</v>
      </c>
      <c r="C26" s="1" t="s">
        <v>31</v>
      </c>
      <c r="D26" s="4" t="s">
        <v>64</v>
      </c>
      <c r="E26" s="3">
        <v>250348</v>
      </c>
      <c r="F26" s="6">
        <v>23008</v>
      </c>
      <c r="G26" s="6">
        <v>20708</v>
      </c>
      <c r="H26" s="10">
        <f t="shared" si="0"/>
        <v>2300</v>
      </c>
    </row>
    <row r="27" spans="1:13" x14ac:dyDescent="0.25">
      <c r="A27" s="1">
        <v>25</v>
      </c>
      <c r="B27" s="1" t="s">
        <v>65</v>
      </c>
      <c r="C27" s="1" t="s">
        <v>66</v>
      </c>
      <c r="D27" s="4" t="s">
        <v>67</v>
      </c>
      <c r="E27" s="3">
        <v>250365</v>
      </c>
      <c r="F27" s="6">
        <v>33480</v>
      </c>
      <c r="G27" s="6">
        <v>0</v>
      </c>
      <c r="H27" s="10">
        <f t="shared" si="0"/>
        <v>33480</v>
      </c>
      <c r="J27">
        <v>33480</v>
      </c>
    </row>
    <row r="28" spans="1:13" x14ac:dyDescent="0.25">
      <c r="A28" s="1">
        <v>26</v>
      </c>
      <c r="B28" s="1" t="s">
        <v>68</v>
      </c>
      <c r="C28" s="1" t="s">
        <v>30</v>
      </c>
      <c r="D28" s="4" t="s">
        <v>69</v>
      </c>
      <c r="E28" s="3">
        <v>250382</v>
      </c>
      <c r="F28" s="6">
        <v>17001</v>
      </c>
      <c r="G28" s="6">
        <v>16000</v>
      </c>
      <c r="H28" s="10">
        <f t="shared" si="0"/>
        <v>1001</v>
      </c>
      <c r="J28">
        <v>1001</v>
      </c>
    </row>
    <row r="29" spans="1:13" x14ac:dyDescent="0.25">
      <c r="A29" s="1">
        <v>27</v>
      </c>
      <c r="B29" s="1" t="s">
        <v>70</v>
      </c>
      <c r="C29" s="1" t="s">
        <v>71</v>
      </c>
      <c r="D29" s="4" t="s">
        <v>69</v>
      </c>
      <c r="E29" s="3">
        <v>250355</v>
      </c>
      <c r="F29" s="6">
        <v>10732</v>
      </c>
      <c r="G29" s="6">
        <v>8732</v>
      </c>
      <c r="H29" s="10">
        <f t="shared" si="0"/>
        <v>2000</v>
      </c>
      <c r="J29">
        <v>1000</v>
      </c>
    </row>
    <row r="30" spans="1:13" x14ac:dyDescent="0.25">
      <c r="A30" s="1">
        <v>28</v>
      </c>
      <c r="B30" s="1" t="s">
        <v>72</v>
      </c>
      <c r="C30" s="1" t="s">
        <v>8</v>
      </c>
      <c r="D30" s="4" t="s">
        <v>73</v>
      </c>
      <c r="E30" s="3">
        <v>250388</v>
      </c>
      <c r="F30" s="6">
        <v>8073</v>
      </c>
      <c r="G30" s="6">
        <v>0</v>
      </c>
      <c r="H30" s="10">
        <f t="shared" si="0"/>
        <v>8073</v>
      </c>
    </row>
    <row r="31" spans="1:13" x14ac:dyDescent="0.25">
      <c r="A31" s="1">
        <v>29</v>
      </c>
      <c r="B31" s="1" t="s">
        <v>74</v>
      </c>
      <c r="C31" s="1" t="s">
        <v>75</v>
      </c>
      <c r="D31" s="4" t="s">
        <v>76</v>
      </c>
      <c r="E31" s="3">
        <v>250400</v>
      </c>
      <c r="F31" s="6">
        <v>42962</v>
      </c>
      <c r="G31" s="6">
        <v>28000</v>
      </c>
      <c r="H31" s="10">
        <f t="shared" si="0"/>
        <v>14962</v>
      </c>
      <c r="J31">
        <v>14962</v>
      </c>
    </row>
    <row r="32" spans="1:13" x14ac:dyDescent="0.25">
      <c r="A32" s="1">
        <v>30</v>
      </c>
      <c r="B32" s="1" t="s">
        <v>155</v>
      </c>
      <c r="C32" s="1" t="s">
        <v>19</v>
      </c>
      <c r="D32" s="4" t="s">
        <v>76</v>
      </c>
      <c r="E32" s="3">
        <v>250407</v>
      </c>
      <c r="F32" s="6">
        <v>15196</v>
      </c>
      <c r="G32" s="6">
        <v>11696</v>
      </c>
      <c r="H32" s="12">
        <f t="shared" si="0"/>
        <v>3500</v>
      </c>
      <c r="J32">
        <v>1000</v>
      </c>
    </row>
    <row r="33" spans="1:10" x14ac:dyDescent="0.25">
      <c r="A33" s="1">
        <v>31</v>
      </c>
      <c r="B33" s="1" t="s">
        <v>79</v>
      </c>
      <c r="C33" s="1" t="s">
        <v>77</v>
      </c>
      <c r="D33" s="4" t="s">
        <v>78</v>
      </c>
      <c r="E33" s="3">
        <v>250424</v>
      </c>
      <c r="F33" s="6">
        <v>4464</v>
      </c>
      <c r="G33" s="6">
        <v>0</v>
      </c>
      <c r="H33" s="10">
        <f t="shared" si="0"/>
        <v>4464</v>
      </c>
    </row>
    <row r="34" spans="1:10" x14ac:dyDescent="0.25">
      <c r="A34" s="1">
        <v>32</v>
      </c>
      <c r="B34" s="1" t="s">
        <v>80</v>
      </c>
      <c r="C34" s="1" t="s">
        <v>81</v>
      </c>
      <c r="D34" s="4" t="s">
        <v>78</v>
      </c>
      <c r="E34" s="3">
        <v>250429</v>
      </c>
      <c r="F34" s="6">
        <v>28123</v>
      </c>
      <c r="G34" s="6">
        <v>0</v>
      </c>
      <c r="H34" s="10">
        <f t="shared" si="0"/>
        <v>28123</v>
      </c>
    </row>
    <row r="35" spans="1:10" x14ac:dyDescent="0.25">
      <c r="A35" s="1">
        <v>33</v>
      </c>
      <c r="B35" s="1" t="s">
        <v>82</v>
      </c>
      <c r="C35" s="1" t="s">
        <v>45</v>
      </c>
      <c r="D35" s="4" t="s">
        <v>83</v>
      </c>
      <c r="E35" s="3">
        <v>250446</v>
      </c>
      <c r="F35" s="6">
        <v>41316</v>
      </c>
      <c r="G35" s="6">
        <v>30000</v>
      </c>
      <c r="H35" s="10">
        <f t="shared" si="0"/>
        <v>11316</v>
      </c>
      <c r="J35">
        <v>11316</v>
      </c>
    </row>
    <row r="36" spans="1:10" x14ac:dyDescent="0.25">
      <c r="A36" s="1">
        <v>34</v>
      </c>
      <c r="B36" s="1" t="s">
        <v>84</v>
      </c>
      <c r="C36" s="1" t="s">
        <v>45</v>
      </c>
      <c r="D36" s="4" t="s">
        <v>83</v>
      </c>
      <c r="E36" s="3">
        <v>250440</v>
      </c>
      <c r="F36" s="6">
        <v>30420</v>
      </c>
      <c r="G36" s="6">
        <v>0</v>
      </c>
      <c r="H36" s="10">
        <f t="shared" si="0"/>
        <v>30420</v>
      </c>
      <c r="J36">
        <v>20420</v>
      </c>
    </row>
    <row r="37" spans="1:10" x14ac:dyDescent="0.25">
      <c r="A37" s="1">
        <v>35</v>
      </c>
      <c r="B37" s="1" t="s">
        <v>85</v>
      </c>
      <c r="C37" s="1" t="s">
        <v>27</v>
      </c>
      <c r="D37" s="4" t="s">
        <v>86</v>
      </c>
      <c r="E37" s="3">
        <v>250455</v>
      </c>
      <c r="F37" s="6">
        <v>34171</v>
      </c>
      <c r="G37" s="6">
        <v>19171</v>
      </c>
      <c r="H37" s="10">
        <f t="shared" si="0"/>
        <v>15000</v>
      </c>
      <c r="J37">
        <v>15000</v>
      </c>
    </row>
    <row r="38" spans="1:10" x14ac:dyDescent="0.25">
      <c r="A38" s="1">
        <v>36</v>
      </c>
      <c r="B38" s="1" t="s">
        <v>87</v>
      </c>
      <c r="C38" s="1" t="s">
        <v>88</v>
      </c>
      <c r="D38" s="4" t="s">
        <v>86</v>
      </c>
      <c r="E38" s="3">
        <v>250448</v>
      </c>
      <c r="F38" s="6">
        <v>24105</v>
      </c>
      <c r="G38" s="6">
        <v>0</v>
      </c>
      <c r="H38" s="10">
        <f t="shared" si="0"/>
        <v>24105</v>
      </c>
    </row>
    <row r="39" spans="1:10" x14ac:dyDescent="0.25">
      <c r="A39" s="1">
        <v>37</v>
      </c>
      <c r="B39" s="1" t="s">
        <v>89</v>
      </c>
      <c r="C39" s="1" t="s">
        <v>27</v>
      </c>
      <c r="D39" s="4" t="s">
        <v>86</v>
      </c>
      <c r="E39" s="3">
        <v>250457</v>
      </c>
      <c r="F39" s="6">
        <v>12537</v>
      </c>
      <c r="G39" s="6">
        <v>0</v>
      </c>
      <c r="H39" s="10">
        <f t="shared" si="0"/>
        <v>12537</v>
      </c>
      <c r="J39">
        <v>12537</v>
      </c>
    </row>
    <row r="40" spans="1:10" x14ac:dyDescent="0.25">
      <c r="A40" s="1">
        <v>38</v>
      </c>
      <c r="B40" s="1" t="s">
        <v>90</v>
      </c>
      <c r="C40" s="1" t="s">
        <v>31</v>
      </c>
      <c r="D40" s="4" t="s">
        <v>91</v>
      </c>
      <c r="E40" s="3">
        <v>250473</v>
      </c>
      <c r="F40" s="6">
        <v>22887</v>
      </c>
      <c r="G40" s="6">
        <v>0</v>
      </c>
      <c r="H40" s="10">
        <f t="shared" si="0"/>
        <v>22887</v>
      </c>
    </row>
    <row r="41" spans="1:10" x14ac:dyDescent="0.25">
      <c r="A41" s="1">
        <v>39</v>
      </c>
      <c r="B41" s="1" t="s">
        <v>92</v>
      </c>
      <c r="C41" s="1" t="s">
        <v>66</v>
      </c>
      <c r="D41" s="4" t="s">
        <v>93</v>
      </c>
      <c r="E41" s="3">
        <v>250475</v>
      </c>
      <c r="F41" s="6">
        <v>4036</v>
      </c>
      <c r="G41" s="6">
        <v>0</v>
      </c>
      <c r="H41" s="10">
        <f t="shared" si="0"/>
        <v>4036</v>
      </c>
    </row>
    <row r="42" spans="1:10" x14ac:dyDescent="0.25">
      <c r="A42" s="1">
        <v>40</v>
      </c>
      <c r="B42" s="1" t="s">
        <v>94</v>
      </c>
      <c r="C42" s="1" t="s">
        <v>19</v>
      </c>
      <c r="D42" s="4" t="s">
        <v>93</v>
      </c>
      <c r="E42" s="3">
        <v>250482</v>
      </c>
      <c r="F42" s="6">
        <v>25304</v>
      </c>
      <c r="G42" s="6">
        <v>14000</v>
      </c>
      <c r="H42" s="10">
        <f t="shared" si="0"/>
        <v>11304</v>
      </c>
      <c r="J42">
        <v>11304</v>
      </c>
    </row>
    <row r="43" spans="1:10" x14ac:dyDescent="0.25">
      <c r="A43" s="1">
        <v>41</v>
      </c>
      <c r="B43" s="1" t="s">
        <v>39</v>
      </c>
      <c r="C43" s="1" t="s">
        <v>19</v>
      </c>
      <c r="D43" s="4" t="s">
        <v>93</v>
      </c>
      <c r="E43" s="3">
        <v>250481</v>
      </c>
      <c r="F43" s="6">
        <v>12071</v>
      </c>
      <c r="G43" s="6">
        <v>10065</v>
      </c>
      <c r="H43" s="10">
        <f t="shared" si="0"/>
        <v>2006</v>
      </c>
      <c r="J43">
        <v>2006</v>
      </c>
    </row>
    <row r="44" spans="1:10" x14ac:dyDescent="0.25">
      <c r="A44" s="1">
        <v>42</v>
      </c>
      <c r="B44" s="1" t="s">
        <v>95</v>
      </c>
      <c r="C44" s="1" t="s">
        <v>96</v>
      </c>
      <c r="D44" s="4" t="s">
        <v>93</v>
      </c>
      <c r="E44" s="3">
        <v>250452</v>
      </c>
      <c r="F44" s="6">
        <v>28123</v>
      </c>
      <c r="G44" s="6">
        <v>25123</v>
      </c>
      <c r="H44" s="10">
        <f t="shared" si="0"/>
        <v>3000</v>
      </c>
      <c r="J44">
        <v>3000</v>
      </c>
    </row>
    <row r="45" spans="1:10" x14ac:dyDescent="0.25">
      <c r="A45" s="1">
        <v>43</v>
      </c>
      <c r="B45" s="1" t="s">
        <v>24</v>
      </c>
      <c r="C45" s="1" t="s">
        <v>25</v>
      </c>
      <c r="D45" s="4" t="s">
        <v>97</v>
      </c>
      <c r="E45" s="3">
        <v>250498</v>
      </c>
      <c r="F45" s="6">
        <v>22864</v>
      </c>
      <c r="G45" s="6">
        <v>13996</v>
      </c>
      <c r="H45" s="10">
        <f t="shared" si="0"/>
        <v>8868</v>
      </c>
      <c r="J45">
        <v>8868</v>
      </c>
    </row>
    <row r="46" spans="1:10" x14ac:dyDescent="0.25">
      <c r="A46" s="1">
        <v>44</v>
      </c>
      <c r="B46" s="1" t="s">
        <v>98</v>
      </c>
      <c r="C46" s="1" t="s">
        <v>23</v>
      </c>
      <c r="D46" s="4" t="s">
        <v>97</v>
      </c>
      <c r="E46" s="3">
        <v>250501</v>
      </c>
      <c r="F46" s="6">
        <v>32078</v>
      </c>
      <c r="G46" s="6">
        <v>15000</v>
      </c>
      <c r="H46" s="10">
        <f t="shared" si="0"/>
        <v>17078</v>
      </c>
      <c r="J46">
        <v>17078</v>
      </c>
    </row>
    <row r="47" spans="1:10" x14ac:dyDescent="0.25">
      <c r="A47" s="1">
        <v>45</v>
      </c>
      <c r="B47" s="1" t="s">
        <v>99</v>
      </c>
      <c r="C47" s="1" t="s">
        <v>19</v>
      </c>
      <c r="D47" s="4" t="s">
        <v>97</v>
      </c>
      <c r="E47" s="3">
        <v>250494</v>
      </c>
      <c r="F47" s="6">
        <v>11602</v>
      </c>
      <c r="G47" s="6">
        <v>10102</v>
      </c>
      <c r="H47" s="10">
        <f t="shared" si="0"/>
        <v>1500</v>
      </c>
      <c r="J47">
        <v>1500</v>
      </c>
    </row>
    <row r="48" spans="1:10" x14ac:dyDescent="0.25">
      <c r="A48" s="1">
        <v>46</v>
      </c>
      <c r="B48" s="1" t="s">
        <v>100</v>
      </c>
      <c r="C48" s="1" t="s">
        <v>81</v>
      </c>
      <c r="D48" s="4" t="s">
        <v>97</v>
      </c>
      <c r="E48" s="3">
        <v>250492</v>
      </c>
      <c r="F48" s="6">
        <v>11466</v>
      </c>
      <c r="G48" s="6">
        <v>7000</v>
      </c>
      <c r="H48" s="10">
        <f t="shared" si="0"/>
        <v>4466</v>
      </c>
      <c r="J48">
        <v>4466</v>
      </c>
    </row>
    <row r="49" spans="1:10" x14ac:dyDescent="0.25">
      <c r="A49" s="1">
        <v>47</v>
      </c>
      <c r="B49" s="1" t="s">
        <v>101</v>
      </c>
      <c r="C49" s="1" t="s">
        <v>102</v>
      </c>
      <c r="D49" s="4" t="s">
        <v>103</v>
      </c>
      <c r="E49" s="3">
        <v>250496</v>
      </c>
      <c r="F49" s="6">
        <v>23470</v>
      </c>
      <c r="G49" s="6">
        <v>18470</v>
      </c>
      <c r="H49" s="10">
        <f t="shared" si="0"/>
        <v>5000</v>
      </c>
      <c r="J49">
        <v>5000</v>
      </c>
    </row>
    <row r="50" spans="1:10" x14ac:dyDescent="0.25">
      <c r="A50" s="1">
        <v>48</v>
      </c>
      <c r="B50" s="1" t="s">
        <v>104</v>
      </c>
      <c r="C50" s="1" t="s">
        <v>105</v>
      </c>
      <c r="D50" s="4" t="s">
        <v>103</v>
      </c>
      <c r="E50" s="3">
        <v>250513</v>
      </c>
      <c r="F50" s="6">
        <v>19245</v>
      </c>
      <c r="G50" s="6">
        <v>13245</v>
      </c>
      <c r="H50" s="10">
        <f t="shared" si="0"/>
        <v>6000</v>
      </c>
      <c r="J50">
        <v>6000</v>
      </c>
    </row>
    <row r="51" spans="1:10" x14ac:dyDescent="0.25">
      <c r="A51" s="1">
        <v>49</v>
      </c>
      <c r="B51" s="1" t="s">
        <v>79</v>
      </c>
      <c r="C51" s="1" t="s">
        <v>105</v>
      </c>
      <c r="D51" s="4" t="s">
        <v>103</v>
      </c>
      <c r="E51" s="3">
        <v>250510</v>
      </c>
      <c r="F51" s="6">
        <v>14731</v>
      </c>
      <c r="G51" s="6">
        <v>0</v>
      </c>
      <c r="H51" s="10">
        <f t="shared" si="0"/>
        <v>14731</v>
      </c>
    </row>
    <row r="52" spans="1:10" x14ac:dyDescent="0.25">
      <c r="A52" s="1">
        <v>50</v>
      </c>
      <c r="B52" s="1" t="s">
        <v>106</v>
      </c>
      <c r="C52" s="1" t="s">
        <v>105</v>
      </c>
      <c r="D52" s="4" t="s">
        <v>103</v>
      </c>
      <c r="E52" s="3">
        <v>250509</v>
      </c>
      <c r="F52" s="6">
        <v>52898</v>
      </c>
      <c r="G52" s="6">
        <v>37898</v>
      </c>
      <c r="H52" s="10">
        <f t="shared" si="0"/>
        <v>15000</v>
      </c>
    </row>
    <row r="53" spans="1:10" x14ac:dyDescent="0.25">
      <c r="A53" s="1">
        <v>51</v>
      </c>
      <c r="B53" s="1" t="s">
        <v>107</v>
      </c>
      <c r="C53" s="1" t="s">
        <v>88</v>
      </c>
      <c r="D53" s="4" t="s">
        <v>108</v>
      </c>
      <c r="E53" s="3">
        <v>250528</v>
      </c>
      <c r="F53" s="6">
        <v>8035</v>
      </c>
      <c r="G53" s="6">
        <v>0</v>
      </c>
      <c r="H53" s="10">
        <f t="shared" si="0"/>
        <v>8035</v>
      </c>
      <c r="J53">
        <v>8035</v>
      </c>
    </row>
    <row r="54" spans="1:10" x14ac:dyDescent="0.25">
      <c r="A54" s="1">
        <v>52</v>
      </c>
      <c r="B54" s="1" t="s">
        <v>109</v>
      </c>
      <c r="C54" s="1" t="s">
        <v>110</v>
      </c>
      <c r="D54" s="4" t="s">
        <v>108</v>
      </c>
      <c r="E54" s="3">
        <v>250526</v>
      </c>
      <c r="F54" s="6">
        <v>7365</v>
      </c>
      <c r="G54" s="6">
        <v>4865</v>
      </c>
      <c r="H54" s="10">
        <f t="shared" si="0"/>
        <v>2500</v>
      </c>
      <c r="J54">
        <v>2500</v>
      </c>
    </row>
    <row r="55" spans="1:10" x14ac:dyDescent="0.25">
      <c r="A55" s="1">
        <v>53</v>
      </c>
      <c r="B55" s="1" t="s">
        <v>111</v>
      </c>
      <c r="C55" s="1" t="s">
        <v>30</v>
      </c>
      <c r="D55" s="4" t="s">
        <v>108</v>
      </c>
      <c r="E55" s="3">
        <v>250535</v>
      </c>
      <c r="F55" s="6">
        <v>10713</v>
      </c>
      <c r="G55" s="6">
        <v>5000</v>
      </c>
      <c r="H55" s="10">
        <f t="shared" si="0"/>
        <v>5713</v>
      </c>
      <c r="J55">
        <v>5713</v>
      </c>
    </row>
    <row r="56" spans="1:10" x14ac:dyDescent="0.25">
      <c r="A56" s="1">
        <v>54</v>
      </c>
      <c r="B56" s="1" t="s">
        <v>112</v>
      </c>
      <c r="C56" s="1" t="s">
        <v>30</v>
      </c>
      <c r="D56" s="4" t="s">
        <v>108</v>
      </c>
      <c r="E56" s="3">
        <v>250534</v>
      </c>
      <c r="F56" s="6">
        <v>31735</v>
      </c>
      <c r="G56" s="6">
        <v>20000</v>
      </c>
      <c r="H56" s="10">
        <f t="shared" si="0"/>
        <v>11735</v>
      </c>
      <c r="J56">
        <v>11735</v>
      </c>
    </row>
    <row r="57" spans="1:10" x14ac:dyDescent="0.25">
      <c r="A57" s="1">
        <v>55</v>
      </c>
      <c r="B57" s="1" t="s">
        <v>7</v>
      </c>
      <c r="C57" s="1" t="s">
        <v>8</v>
      </c>
      <c r="D57" s="4" t="s">
        <v>113</v>
      </c>
      <c r="E57" s="3">
        <v>250542</v>
      </c>
      <c r="F57" s="6">
        <v>6696</v>
      </c>
      <c r="G57" s="6">
        <v>4000</v>
      </c>
      <c r="H57" s="10">
        <f t="shared" si="0"/>
        <v>2696</v>
      </c>
      <c r="J57">
        <v>2696</v>
      </c>
    </row>
    <row r="58" spans="1:10" x14ac:dyDescent="0.25">
      <c r="A58" s="1">
        <v>56</v>
      </c>
      <c r="B58" s="1" t="s">
        <v>114</v>
      </c>
      <c r="C58" s="1" t="s">
        <v>115</v>
      </c>
      <c r="D58" s="4" t="s">
        <v>116</v>
      </c>
      <c r="E58" s="3">
        <v>250549</v>
      </c>
      <c r="F58" s="6">
        <v>14731</v>
      </c>
      <c r="G58" s="6">
        <v>10731</v>
      </c>
      <c r="H58" s="10">
        <f t="shared" si="0"/>
        <v>4000</v>
      </c>
      <c r="J58">
        <v>4000</v>
      </c>
    </row>
    <row r="59" spans="1:10" x14ac:dyDescent="0.25">
      <c r="A59" s="1">
        <v>57</v>
      </c>
      <c r="B59" s="1" t="s">
        <v>117</v>
      </c>
      <c r="C59" s="1" t="s">
        <v>19</v>
      </c>
      <c r="D59" s="4" t="s">
        <v>116</v>
      </c>
      <c r="E59" s="3">
        <v>250555</v>
      </c>
      <c r="F59" s="6">
        <v>7365</v>
      </c>
      <c r="G59" s="6">
        <v>4000</v>
      </c>
      <c r="H59" s="10">
        <f t="shared" si="0"/>
        <v>3365</v>
      </c>
      <c r="J59">
        <v>3365</v>
      </c>
    </row>
    <row r="60" spans="1:10" x14ac:dyDescent="0.25">
      <c r="A60" s="1">
        <v>58</v>
      </c>
      <c r="B60" s="1" t="s">
        <v>118</v>
      </c>
      <c r="C60" s="1" t="s">
        <v>75</v>
      </c>
      <c r="D60" s="4" t="s">
        <v>119</v>
      </c>
      <c r="E60" s="3">
        <v>250559</v>
      </c>
      <c r="F60" s="6">
        <v>7365</v>
      </c>
      <c r="G60" s="6">
        <v>0</v>
      </c>
      <c r="H60" s="10">
        <f t="shared" si="0"/>
        <v>7365</v>
      </c>
      <c r="J60">
        <v>7365</v>
      </c>
    </row>
    <row r="61" spans="1:10" x14ac:dyDescent="0.25">
      <c r="A61" s="1">
        <v>59</v>
      </c>
      <c r="B61" s="1" t="s">
        <v>120</v>
      </c>
      <c r="C61" s="1" t="s">
        <v>96</v>
      </c>
      <c r="D61" s="4" t="s">
        <v>119</v>
      </c>
      <c r="E61" s="3">
        <v>250561</v>
      </c>
      <c r="F61" s="6">
        <v>10602</v>
      </c>
      <c r="G61" s="6">
        <v>9900</v>
      </c>
      <c r="H61" s="10">
        <f t="shared" si="0"/>
        <v>702</v>
      </c>
      <c r="J61">
        <v>702</v>
      </c>
    </row>
    <row r="62" spans="1:10" x14ac:dyDescent="0.25">
      <c r="A62" s="1">
        <v>60</v>
      </c>
      <c r="B62" s="1" t="s">
        <v>121</v>
      </c>
      <c r="C62" s="1" t="s">
        <v>66</v>
      </c>
      <c r="D62" s="4" t="s">
        <v>123</v>
      </c>
      <c r="E62" s="3">
        <v>250558</v>
      </c>
      <c r="F62" s="6">
        <v>7365</v>
      </c>
      <c r="G62" s="6">
        <v>0</v>
      </c>
      <c r="H62" s="10">
        <f t="shared" si="0"/>
        <v>7365</v>
      </c>
      <c r="J62">
        <v>7365</v>
      </c>
    </row>
    <row r="63" spans="1:10" x14ac:dyDescent="0.25">
      <c r="A63" s="1">
        <v>61</v>
      </c>
      <c r="B63" s="1" t="s">
        <v>68</v>
      </c>
      <c r="C63" s="1" t="s">
        <v>30</v>
      </c>
      <c r="D63" s="4" t="s">
        <v>122</v>
      </c>
      <c r="E63" s="3">
        <v>250572</v>
      </c>
      <c r="F63" s="6">
        <v>12499</v>
      </c>
      <c r="G63" s="6">
        <v>4000</v>
      </c>
      <c r="H63" s="12">
        <f t="shared" si="0"/>
        <v>8499</v>
      </c>
      <c r="J63">
        <v>8499</v>
      </c>
    </row>
    <row r="64" spans="1:10" x14ac:dyDescent="0.25">
      <c r="A64" s="1">
        <v>62</v>
      </c>
      <c r="B64" s="1" t="s">
        <v>124</v>
      </c>
      <c r="C64" s="1" t="s">
        <v>27</v>
      </c>
      <c r="D64" s="4" t="s">
        <v>122</v>
      </c>
      <c r="E64" s="3">
        <v>250571</v>
      </c>
      <c r="F64" s="6">
        <v>3276</v>
      </c>
      <c r="G64" s="6">
        <v>2976</v>
      </c>
      <c r="H64" s="10">
        <f t="shared" si="0"/>
        <v>300</v>
      </c>
      <c r="J64">
        <v>300</v>
      </c>
    </row>
    <row r="65" spans="1:13" x14ac:dyDescent="0.25">
      <c r="A65" s="1">
        <v>63</v>
      </c>
      <c r="B65" s="1" t="s">
        <v>125</v>
      </c>
      <c r="C65" s="1" t="s">
        <v>19</v>
      </c>
      <c r="D65" s="4" t="s">
        <v>126</v>
      </c>
      <c r="E65" s="3">
        <v>250592</v>
      </c>
      <c r="F65" s="6">
        <v>35488</v>
      </c>
      <c r="G65" s="6">
        <v>28488</v>
      </c>
      <c r="H65" s="10">
        <f t="shared" si="0"/>
        <v>7000</v>
      </c>
    </row>
    <row r="66" spans="1:13" x14ac:dyDescent="0.25">
      <c r="A66" s="1">
        <v>64</v>
      </c>
      <c r="B66" s="1" t="s">
        <v>145</v>
      </c>
      <c r="C66" s="1" t="s">
        <v>19</v>
      </c>
      <c r="D66" s="4" t="s">
        <v>126</v>
      </c>
      <c r="E66" s="3">
        <v>250588</v>
      </c>
      <c r="F66" s="6">
        <v>18079</v>
      </c>
      <c r="G66" s="6">
        <v>5000</v>
      </c>
      <c r="H66" s="10">
        <f t="shared" si="0"/>
        <v>13079</v>
      </c>
      <c r="J66">
        <v>13079</v>
      </c>
    </row>
    <row r="67" spans="1:13" x14ac:dyDescent="0.25">
      <c r="A67" s="1">
        <v>65</v>
      </c>
      <c r="B67" s="1" t="s">
        <v>127</v>
      </c>
      <c r="C67" s="1" t="s">
        <v>51</v>
      </c>
      <c r="D67" s="4" t="s">
        <v>126</v>
      </c>
      <c r="E67" s="3">
        <v>250587</v>
      </c>
      <c r="F67" s="6">
        <v>21866</v>
      </c>
      <c r="G67" s="6">
        <v>17966</v>
      </c>
      <c r="H67" s="10">
        <f t="shared" si="0"/>
        <v>3900</v>
      </c>
      <c r="J67">
        <v>3900</v>
      </c>
    </row>
    <row r="68" spans="1:13" x14ac:dyDescent="0.25">
      <c r="A68" s="1">
        <v>66</v>
      </c>
      <c r="B68" s="1" t="s">
        <v>101</v>
      </c>
      <c r="C68" s="1" t="s">
        <v>102</v>
      </c>
      <c r="D68" s="4" t="s">
        <v>128</v>
      </c>
      <c r="E68" s="3">
        <v>250596</v>
      </c>
      <c r="F68" s="6">
        <v>19222</v>
      </c>
      <c r="G68" s="6">
        <v>16000</v>
      </c>
      <c r="H68" s="10">
        <f t="shared" ref="H68:H77" si="1">F68-G68</f>
        <v>3222</v>
      </c>
      <c r="J68">
        <v>3222</v>
      </c>
    </row>
    <row r="69" spans="1:13" x14ac:dyDescent="0.25">
      <c r="A69" s="1">
        <v>67</v>
      </c>
      <c r="B69" s="1" t="s">
        <v>129</v>
      </c>
      <c r="C69" s="1" t="s">
        <v>81</v>
      </c>
      <c r="D69" s="4" t="s">
        <v>128</v>
      </c>
      <c r="E69" s="3">
        <v>250597</v>
      </c>
      <c r="F69" s="6">
        <v>31021</v>
      </c>
      <c r="G69" s="6">
        <v>30447</v>
      </c>
      <c r="H69" s="10">
        <f t="shared" si="1"/>
        <v>574</v>
      </c>
    </row>
    <row r="70" spans="1:13" x14ac:dyDescent="0.25">
      <c r="A70" s="1">
        <v>68</v>
      </c>
      <c r="B70" s="1" t="s">
        <v>130</v>
      </c>
      <c r="C70" s="1" t="s">
        <v>45</v>
      </c>
      <c r="D70" s="4" t="s">
        <v>131</v>
      </c>
      <c r="E70" s="3">
        <v>250613</v>
      </c>
      <c r="F70" s="6">
        <v>23659</v>
      </c>
      <c r="G70" s="6">
        <v>125</v>
      </c>
      <c r="H70" s="12">
        <f t="shared" si="1"/>
        <v>23534</v>
      </c>
      <c r="J70">
        <v>23659</v>
      </c>
    </row>
    <row r="71" spans="1:13" x14ac:dyDescent="0.25">
      <c r="A71" s="1">
        <v>69</v>
      </c>
      <c r="B71" s="1" t="s">
        <v>132</v>
      </c>
      <c r="C71" s="1" t="s">
        <v>30</v>
      </c>
      <c r="D71" s="4" t="s">
        <v>133</v>
      </c>
      <c r="E71" s="3">
        <v>250619</v>
      </c>
      <c r="F71" s="6">
        <v>75067</v>
      </c>
      <c r="G71" s="6">
        <v>50178</v>
      </c>
      <c r="H71" s="10">
        <f t="shared" si="1"/>
        <v>24889</v>
      </c>
      <c r="J71">
        <v>19889</v>
      </c>
    </row>
    <row r="72" spans="1:13" x14ac:dyDescent="0.25">
      <c r="A72" s="1">
        <v>70</v>
      </c>
      <c r="B72" s="1" t="s">
        <v>134</v>
      </c>
      <c r="C72" s="1" t="s">
        <v>31</v>
      </c>
      <c r="D72" s="4" t="s">
        <v>135</v>
      </c>
      <c r="E72" s="3">
        <v>250636</v>
      </c>
      <c r="F72" s="6">
        <v>17409</v>
      </c>
      <c r="G72" s="6">
        <v>16469</v>
      </c>
      <c r="H72" s="10">
        <f t="shared" si="1"/>
        <v>940</v>
      </c>
      <c r="J72">
        <v>940</v>
      </c>
    </row>
    <row r="73" spans="1:13" x14ac:dyDescent="0.25">
      <c r="A73" s="1">
        <v>71</v>
      </c>
      <c r="B73" s="1" t="s">
        <v>136</v>
      </c>
      <c r="C73" s="1" t="s">
        <v>51</v>
      </c>
      <c r="D73" s="4" t="s">
        <v>137</v>
      </c>
      <c r="E73" s="3">
        <v>250652</v>
      </c>
      <c r="F73" s="6">
        <v>7588</v>
      </c>
      <c r="G73" s="6">
        <v>4588</v>
      </c>
      <c r="H73" s="10">
        <f t="shared" si="1"/>
        <v>3000</v>
      </c>
      <c r="J73">
        <v>3000</v>
      </c>
    </row>
    <row r="74" spans="1:13" x14ac:dyDescent="0.25">
      <c r="A74" s="1">
        <v>72</v>
      </c>
      <c r="B74" s="1" t="s">
        <v>138</v>
      </c>
      <c r="C74" s="1" t="s">
        <v>139</v>
      </c>
      <c r="D74" s="4" t="s">
        <v>140</v>
      </c>
      <c r="E74" s="3" t="s">
        <v>141</v>
      </c>
      <c r="F74" s="6">
        <v>4017</v>
      </c>
      <c r="G74" s="6">
        <v>1000</v>
      </c>
      <c r="H74" s="10">
        <f t="shared" si="1"/>
        <v>3017</v>
      </c>
      <c r="J74">
        <v>3017</v>
      </c>
    </row>
    <row r="75" spans="1:13" x14ac:dyDescent="0.25">
      <c r="A75" s="1">
        <v>73</v>
      </c>
      <c r="B75" s="1" t="s">
        <v>142</v>
      </c>
      <c r="C75" s="1" t="s">
        <v>62</v>
      </c>
      <c r="D75" s="4" t="s">
        <v>140</v>
      </c>
      <c r="E75" s="3">
        <v>250647</v>
      </c>
      <c r="F75" s="6">
        <v>13234</v>
      </c>
      <c r="G75" s="6">
        <v>12200</v>
      </c>
      <c r="H75" s="10">
        <f t="shared" si="1"/>
        <v>1034</v>
      </c>
      <c r="J75">
        <v>1034</v>
      </c>
      <c r="M75">
        <v>5329</v>
      </c>
    </row>
    <row r="76" spans="1:13" x14ac:dyDescent="0.25">
      <c r="A76" s="1">
        <v>74</v>
      </c>
      <c r="B76" s="1" t="s">
        <v>121</v>
      </c>
      <c r="C76" s="1" t="s">
        <v>66</v>
      </c>
      <c r="D76" s="4" t="s">
        <v>140</v>
      </c>
      <c r="E76" s="3" t="s">
        <v>143</v>
      </c>
      <c r="F76" s="6">
        <v>4017</v>
      </c>
      <c r="G76" s="6">
        <v>0</v>
      </c>
      <c r="H76" s="10">
        <f t="shared" si="1"/>
        <v>4017</v>
      </c>
    </row>
    <row r="77" spans="1:13" x14ac:dyDescent="0.25">
      <c r="A77" s="1">
        <v>75</v>
      </c>
      <c r="B77" s="1" t="s">
        <v>94</v>
      </c>
      <c r="C77" s="1" t="s">
        <v>19</v>
      </c>
      <c r="D77" s="4" t="s">
        <v>140</v>
      </c>
      <c r="E77" s="3">
        <v>250653</v>
      </c>
      <c r="F77" s="6">
        <v>16963</v>
      </c>
      <c r="G77" s="6">
        <v>0</v>
      </c>
      <c r="H77" s="10">
        <f t="shared" si="1"/>
        <v>16963</v>
      </c>
      <c r="J77">
        <v>16936</v>
      </c>
    </row>
    <row r="78" spans="1:13" x14ac:dyDescent="0.25">
      <c r="A78" s="1">
        <v>76</v>
      </c>
      <c r="B78" s="1" t="s">
        <v>146</v>
      </c>
      <c r="C78" s="1" t="s">
        <v>147</v>
      </c>
      <c r="D78" s="5" t="s">
        <v>140</v>
      </c>
      <c r="E78" s="3" t="s">
        <v>148</v>
      </c>
      <c r="F78" s="7">
        <v>17410</v>
      </c>
      <c r="G78" s="7">
        <v>13375</v>
      </c>
      <c r="H78" s="11">
        <f>F78-G78</f>
        <v>4035</v>
      </c>
    </row>
    <row r="79" spans="1:13" x14ac:dyDescent="0.25">
      <c r="A79" s="1">
        <v>77</v>
      </c>
      <c r="B79" s="1" t="s">
        <v>149</v>
      </c>
      <c r="C79" s="1" t="s">
        <v>150</v>
      </c>
      <c r="D79" s="5" t="s">
        <v>188</v>
      </c>
      <c r="E79" s="3" t="s">
        <v>151</v>
      </c>
      <c r="F79" s="7">
        <v>46418</v>
      </c>
      <c r="G79" s="7">
        <v>35000</v>
      </c>
      <c r="H79" s="11">
        <f>F79-G79</f>
        <v>11418</v>
      </c>
      <c r="J79">
        <v>11418</v>
      </c>
    </row>
    <row r="80" spans="1:13" x14ac:dyDescent="0.25">
      <c r="A80" s="1">
        <v>78</v>
      </c>
      <c r="B80" s="1" t="s">
        <v>152</v>
      </c>
      <c r="C80" s="1" t="s">
        <v>31</v>
      </c>
      <c r="D80" s="5" t="s">
        <v>189</v>
      </c>
      <c r="E80" s="3">
        <v>250683</v>
      </c>
      <c r="F80" s="7">
        <v>1339</v>
      </c>
      <c r="G80" s="7">
        <f t="shared" ref="G80:G130" si="2">H80-F80</f>
        <v>0</v>
      </c>
      <c r="H80" s="11">
        <v>1339</v>
      </c>
    </row>
    <row r="81" spans="1:13" x14ac:dyDescent="0.25">
      <c r="A81" s="1">
        <v>79</v>
      </c>
      <c r="B81" s="1" t="s">
        <v>84</v>
      </c>
      <c r="C81" s="1" t="s">
        <v>45</v>
      </c>
      <c r="D81" s="5" t="s">
        <v>189</v>
      </c>
      <c r="E81" s="3">
        <v>250679</v>
      </c>
      <c r="F81" s="7">
        <v>57966</v>
      </c>
      <c r="G81" s="7">
        <v>22966</v>
      </c>
      <c r="H81" s="11">
        <f t="shared" ref="H81:H87" si="3">F81-G81</f>
        <v>35000</v>
      </c>
      <c r="J81">
        <v>45000</v>
      </c>
    </row>
    <row r="82" spans="1:13" x14ac:dyDescent="0.25">
      <c r="A82" s="1">
        <v>80</v>
      </c>
      <c r="B82" s="1" t="s">
        <v>153</v>
      </c>
      <c r="C82" s="1" t="s">
        <v>154</v>
      </c>
      <c r="D82" s="5" t="s">
        <v>190</v>
      </c>
      <c r="E82" s="3">
        <v>250668</v>
      </c>
      <c r="F82" s="7">
        <v>40344</v>
      </c>
      <c r="G82" s="7">
        <v>28000</v>
      </c>
      <c r="H82" s="11">
        <f t="shared" si="3"/>
        <v>12344</v>
      </c>
      <c r="J82">
        <v>253</v>
      </c>
    </row>
    <row r="83" spans="1:13" x14ac:dyDescent="0.25">
      <c r="A83" s="1">
        <v>81</v>
      </c>
      <c r="B83" s="1" t="s">
        <v>155</v>
      </c>
      <c r="C83" s="1" t="s">
        <v>19</v>
      </c>
      <c r="D83" s="5" t="s">
        <v>191</v>
      </c>
      <c r="E83" s="3">
        <v>250707</v>
      </c>
      <c r="F83" s="7">
        <v>22134</v>
      </c>
      <c r="G83" s="7">
        <v>18134</v>
      </c>
      <c r="H83" s="11">
        <f t="shared" si="3"/>
        <v>4000</v>
      </c>
      <c r="J83">
        <v>0</v>
      </c>
    </row>
    <row r="84" spans="1:13" x14ac:dyDescent="0.25">
      <c r="A84" s="1">
        <v>82</v>
      </c>
      <c r="B84" s="1" t="s">
        <v>125</v>
      </c>
      <c r="C84" s="1" t="s">
        <v>19</v>
      </c>
      <c r="D84" s="5" t="s">
        <v>191</v>
      </c>
      <c r="E84" s="3">
        <v>250702</v>
      </c>
      <c r="F84" s="7">
        <v>51039</v>
      </c>
      <c r="G84" s="7">
        <v>23000</v>
      </c>
      <c r="H84" s="11">
        <f t="shared" si="3"/>
        <v>28039</v>
      </c>
      <c r="J84">
        <v>18000</v>
      </c>
    </row>
    <row r="85" spans="1:13" x14ac:dyDescent="0.25">
      <c r="A85" s="1">
        <v>83</v>
      </c>
      <c r="B85" s="1" t="s">
        <v>156</v>
      </c>
      <c r="C85" s="1" t="s">
        <v>19</v>
      </c>
      <c r="D85" s="5" t="s">
        <v>191</v>
      </c>
      <c r="E85" s="3">
        <v>250710</v>
      </c>
      <c r="F85" s="7">
        <v>24162</v>
      </c>
      <c r="G85" s="7">
        <v>18162</v>
      </c>
      <c r="H85" s="11">
        <f t="shared" si="3"/>
        <v>6000</v>
      </c>
      <c r="J85">
        <v>6000</v>
      </c>
    </row>
    <row r="86" spans="1:13" x14ac:dyDescent="0.25">
      <c r="A86" s="1">
        <v>84</v>
      </c>
      <c r="B86" s="1" t="s">
        <v>114</v>
      </c>
      <c r="C86" s="1" t="s">
        <v>115</v>
      </c>
      <c r="D86" s="5" t="s">
        <v>191</v>
      </c>
      <c r="E86" s="3">
        <v>250708</v>
      </c>
      <c r="F86" s="7">
        <v>20163</v>
      </c>
      <c r="G86" s="7">
        <v>10000</v>
      </c>
      <c r="H86" s="11">
        <f t="shared" si="3"/>
        <v>10163</v>
      </c>
      <c r="J86">
        <v>2163</v>
      </c>
    </row>
    <row r="87" spans="1:13" x14ac:dyDescent="0.25">
      <c r="A87" s="1">
        <v>85</v>
      </c>
      <c r="B87" s="1" t="s">
        <v>157</v>
      </c>
      <c r="C87" s="1" t="s">
        <v>158</v>
      </c>
      <c r="D87" s="5" t="s">
        <v>192</v>
      </c>
      <c r="E87" s="3">
        <v>250694</v>
      </c>
      <c r="F87" s="7">
        <v>10602</v>
      </c>
      <c r="G87" s="7">
        <v>7602</v>
      </c>
      <c r="H87" s="11">
        <f t="shared" si="3"/>
        <v>3000</v>
      </c>
    </row>
    <row r="88" spans="1:13" x14ac:dyDescent="0.25">
      <c r="A88" s="1">
        <v>86</v>
      </c>
      <c r="B88" s="1" t="s">
        <v>129</v>
      </c>
      <c r="C88" s="1" t="s">
        <v>81</v>
      </c>
      <c r="D88" s="5" t="s">
        <v>193</v>
      </c>
      <c r="E88" s="3">
        <v>250726</v>
      </c>
      <c r="F88" s="7">
        <v>8073</v>
      </c>
      <c r="G88" s="7">
        <f t="shared" si="2"/>
        <v>0</v>
      </c>
      <c r="H88" s="11">
        <v>8073</v>
      </c>
    </row>
    <row r="89" spans="1:13" x14ac:dyDescent="0.25">
      <c r="A89" s="1">
        <v>87</v>
      </c>
      <c r="B89" s="1" t="s">
        <v>159</v>
      </c>
      <c r="C89" s="1" t="s">
        <v>10</v>
      </c>
      <c r="D89" s="5" t="s">
        <v>193</v>
      </c>
      <c r="E89" s="3">
        <v>250733</v>
      </c>
      <c r="F89" s="7">
        <v>15065</v>
      </c>
      <c r="G89" s="7">
        <v>3162</v>
      </c>
      <c r="H89" s="11">
        <f>F89-G89</f>
        <v>11903</v>
      </c>
      <c r="J89">
        <v>11903</v>
      </c>
    </row>
    <row r="90" spans="1:13" x14ac:dyDescent="0.25">
      <c r="A90" s="1">
        <v>88</v>
      </c>
      <c r="B90" s="1" t="s">
        <v>99</v>
      </c>
      <c r="C90" s="1" t="s">
        <v>105</v>
      </c>
      <c r="D90" s="5" t="s">
        <v>193</v>
      </c>
      <c r="E90" s="3">
        <v>250721</v>
      </c>
      <c r="F90" s="7">
        <v>11625</v>
      </c>
      <c r="G90" s="7">
        <v>11500</v>
      </c>
      <c r="H90" s="11">
        <f>F90-G90</f>
        <v>125</v>
      </c>
      <c r="J90">
        <v>125</v>
      </c>
    </row>
    <row r="91" spans="1:13" x14ac:dyDescent="0.25">
      <c r="A91" s="1">
        <v>89</v>
      </c>
      <c r="B91" s="1" t="s">
        <v>160</v>
      </c>
      <c r="C91" s="1" t="s">
        <v>88</v>
      </c>
      <c r="D91" s="5" t="s">
        <v>194</v>
      </c>
      <c r="E91" s="3">
        <v>250754</v>
      </c>
      <c r="F91" s="7">
        <v>28789</v>
      </c>
      <c r="G91" s="7">
        <v>23789</v>
      </c>
      <c r="H91" s="11">
        <f>F91-G91</f>
        <v>5000</v>
      </c>
      <c r="J91">
        <v>3910</v>
      </c>
      <c r="M91">
        <v>11639</v>
      </c>
    </row>
    <row r="92" spans="1:13" x14ac:dyDescent="0.25">
      <c r="A92" s="1">
        <v>90</v>
      </c>
      <c r="B92" s="1" t="s">
        <v>161</v>
      </c>
      <c r="C92" s="1" t="s">
        <v>105</v>
      </c>
      <c r="D92" s="5" t="s">
        <v>195</v>
      </c>
      <c r="E92" s="3">
        <v>250735</v>
      </c>
      <c r="F92" s="7">
        <v>16108</v>
      </c>
      <c r="G92" s="7">
        <v>6108</v>
      </c>
      <c r="H92" s="13">
        <v>10000</v>
      </c>
      <c r="J92">
        <v>10000</v>
      </c>
      <c r="L92">
        <v>15000</v>
      </c>
      <c r="M92">
        <v>19470</v>
      </c>
    </row>
    <row r="93" spans="1:13" x14ac:dyDescent="0.25">
      <c r="A93" s="1">
        <v>91</v>
      </c>
      <c r="B93" s="1" t="s">
        <v>156</v>
      </c>
      <c r="C93" s="1" t="s">
        <v>19</v>
      </c>
      <c r="D93" s="5" t="s">
        <v>196</v>
      </c>
      <c r="E93" s="3">
        <v>250769</v>
      </c>
      <c r="F93" s="7">
        <v>35628</v>
      </c>
      <c r="G93" s="7">
        <v>6628</v>
      </c>
      <c r="H93" s="11">
        <f>F93-G93</f>
        <v>29000</v>
      </c>
      <c r="J93">
        <v>29000</v>
      </c>
    </row>
    <row r="94" spans="1:13" x14ac:dyDescent="0.25">
      <c r="A94" s="1">
        <v>92</v>
      </c>
      <c r="B94" s="1" t="s">
        <v>24</v>
      </c>
      <c r="C94" s="1" t="s">
        <v>162</v>
      </c>
      <c r="D94" s="5" t="s">
        <v>195</v>
      </c>
      <c r="E94" s="3">
        <v>250719</v>
      </c>
      <c r="F94" s="7">
        <v>29519</v>
      </c>
      <c r="G94" s="7">
        <v>29383</v>
      </c>
      <c r="H94" s="11">
        <f>F94-G94</f>
        <v>136</v>
      </c>
      <c r="J94" s="9">
        <v>136</v>
      </c>
    </row>
    <row r="95" spans="1:13" x14ac:dyDescent="0.25">
      <c r="A95" s="1">
        <v>93</v>
      </c>
      <c r="B95" s="1" t="s">
        <v>94</v>
      </c>
      <c r="C95" s="1" t="s">
        <v>19</v>
      </c>
      <c r="D95" s="5" t="s">
        <v>197</v>
      </c>
      <c r="E95" s="3">
        <v>250776</v>
      </c>
      <c r="F95" s="7">
        <v>21748</v>
      </c>
      <c r="G95" s="7">
        <v>15711</v>
      </c>
      <c r="H95" s="11">
        <f>F95-G95</f>
        <v>6037</v>
      </c>
      <c r="J95">
        <v>21748</v>
      </c>
    </row>
    <row r="96" spans="1:13" x14ac:dyDescent="0.25">
      <c r="A96" s="1">
        <v>94</v>
      </c>
      <c r="B96" s="1" t="s">
        <v>163</v>
      </c>
      <c r="C96" s="1" t="s">
        <v>105</v>
      </c>
      <c r="D96" s="5" t="s">
        <v>198</v>
      </c>
      <c r="E96" s="3">
        <v>250778</v>
      </c>
      <c r="F96" s="7">
        <v>4017</v>
      </c>
      <c r="G96" s="7">
        <v>1500</v>
      </c>
      <c r="H96" s="11">
        <f>F96-G96</f>
        <v>2517</v>
      </c>
      <c r="J96">
        <v>2517</v>
      </c>
    </row>
    <row r="97" spans="1:10" x14ac:dyDescent="0.25">
      <c r="A97" s="1">
        <v>95</v>
      </c>
      <c r="B97" s="1" t="s">
        <v>55</v>
      </c>
      <c r="C97" s="1" t="s">
        <v>164</v>
      </c>
      <c r="D97" s="5" t="s">
        <v>199</v>
      </c>
      <c r="E97" s="3">
        <v>250799</v>
      </c>
      <c r="F97" s="7">
        <v>5822</v>
      </c>
      <c r="G97" s="7">
        <f t="shared" si="2"/>
        <v>0</v>
      </c>
      <c r="H97" s="11">
        <v>5822</v>
      </c>
    </row>
    <row r="98" spans="1:10" x14ac:dyDescent="0.25">
      <c r="A98" s="1">
        <v>96</v>
      </c>
      <c r="B98" s="1" t="s">
        <v>33</v>
      </c>
      <c r="C98" s="1" t="s">
        <v>165</v>
      </c>
      <c r="D98" s="5" t="s">
        <v>200</v>
      </c>
      <c r="E98" s="3">
        <v>250786</v>
      </c>
      <c r="F98" s="7">
        <v>4017</v>
      </c>
      <c r="G98" s="7">
        <v>3000</v>
      </c>
      <c r="H98" s="11">
        <f>F98-G98</f>
        <v>1017</v>
      </c>
      <c r="J98">
        <v>614</v>
      </c>
    </row>
    <row r="99" spans="1:10" x14ac:dyDescent="0.25">
      <c r="A99" s="1">
        <v>97</v>
      </c>
      <c r="B99" s="1" t="s">
        <v>166</v>
      </c>
      <c r="C99" s="1" t="s">
        <v>19</v>
      </c>
      <c r="D99" s="5" t="s">
        <v>201</v>
      </c>
      <c r="E99" s="3">
        <v>250826</v>
      </c>
      <c r="F99" s="7">
        <v>20341</v>
      </c>
      <c r="G99" s="7">
        <v>5000</v>
      </c>
      <c r="H99" s="11">
        <f>F99-G99</f>
        <v>15341</v>
      </c>
      <c r="J99">
        <v>15341</v>
      </c>
    </row>
    <row r="100" spans="1:10" x14ac:dyDescent="0.25">
      <c r="A100" s="1">
        <v>98</v>
      </c>
      <c r="B100" s="1" t="s">
        <v>146</v>
      </c>
      <c r="C100" s="1" t="s">
        <v>147</v>
      </c>
      <c r="D100" s="5" t="s">
        <v>202</v>
      </c>
      <c r="E100" s="3">
        <v>250831</v>
      </c>
      <c r="F100" s="7">
        <v>28119</v>
      </c>
      <c r="G100" s="7">
        <v>23500</v>
      </c>
      <c r="H100" s="11">
        <f>F100-G100</f>
        <v>4619</v>
      </c>
    </row>
    <row r="101" spans="1:10" x14ac:dyDescent="0.25">
      <c r="A101" s="1">
        <v>99</v>
      </c>
      <c r="B101" s="1" t="s">
        <v>167</v>
      </c>
      <c r="C101" s="1" t="s">
        <v>105</v>
      </c>
      <c r="D101" s="5" t="s">
        <v>203</v>
      </c>
      <c r="E101" s="3">
        <v>250832</v>
      </c>
      <c r="F101" s="7">
        <v>10267</v>
      </c>
      <c r="G101" s="7">
        <f t="shared" si="2"/>
        <v>0</v>
      </c>
      <c r="H101" s="11">
        <v>10267</v>
      </c>
      <c r="J101">
        <v>10267</v>
      </c>
    </row>
    <row r="102" spans="1:10" x14ac:dyDescent="0.25">
      <c r="A102" s="1">
        <v>100</v>
      </c>
      <c r="B102" s="1" t="s">
        <v>168</v>
      </c>
      <c r="C102" s="1" t="s">
        <v>19</v>
      </c>
      <c r="D102" s="5" t="s">
        <v>204</v>
      </c>
      <c r="E102" s="3">
        <v>250852</v>
      </c>
      <c r="F102" s="7">
        <v>41439</v>
      </c>
      <c r="G102" s="7">
        <v>38312</v>
      </c>
      <c r="H102" s="11">
        <f>F102-G102</f>
        <v>3127</v>
      </c>
      <c r="J102">
        <v>3127</v>
      </c>
    </row>
    <row r="103" spans="1:10" x14ac:dyDescent="0.25">
      <c r="A103" s="1">
        <v>101</v>
      </c>
      <c r="B103" s="1" t="s">
        <v>153</v>
      </c>
      <c r="C103" s="1" t="s">
        <v>154</v>
      </c>
      <c r="D103" s="5" t="s">
        <v>204</v>
      </c>
      <c r="E103" s="3">
        <v>250853</v>
      </c>
      <c r="F103" s="7">
        <v>36014</v>
      </c>
      <c r="G103" s="7">
        <v>26014</v>
      </c>
      <c r="H103" s="11">
        <f>F103-G103</f>
        <v>10000</v>
      </c>
      <c r="J103">
        <v>0</v>
      </c>
    </row>
    <row r="104" spans="1:10" x14ac:dyDescent="0.25">
      <c r="A104" s="1">
        <v>102</v>
      </c>
      <c r="B104" s="1" t="s">
        <v>169</v>
      </c>
      <c r="C104" s="1" t="s">
        <v>62</v>
      </c>
      <c r="D104" s="5" t="s">
        <v>205</v>
      </c>
      <c r="E104" s="3">
        <v>250868</v>
      </c>
      <c r="F104" s="7">
        <v>74919</v>
      </c>
      <c r="G104" s="7">
        <v>64919</v>
      </c>
      <c r="H104" s="11">
        <f>F104-G104</f>
        <v>10000</v>
      </c>
      <c r="J104">
        <v>10000</v>
      </c>
    </row>
    <row r="105" spans="1:10" x14ac:dyDescent="0.25">
      <c r="A105" s="1">
        <v>103</v>
      </c>
      <c r="B105" s="1" t="s">
        <v>170</v>
      </c>
      <c r="C105" s="1" t="s">
        <v>31</v>
      </c>
      <c r="D105" s="5" t="s">
        <v>205</v>
      </c>
      <c r="E105" s="3">
        <v>250867</v>
      </c>
      <c r="F105" s="7">
        <v>23882</v>
      </c>
      <c r="G105" s="7">
        <f>H105-F105</f>
        <v>0</v>
      </c>
      <c r="H105" s="11">
        <v>23882</v>
      </c>
      <c r="J105">
        <v>23882</v>
      </c>
    </row>
    <row r="106" spans="1:10" x14ac:dyDescent="0.25">
      <c r="A106" s="1">
        <v>104</v>
      </c>
      <c r="B106" s="1" t="s">
        <v>156</v>
      </c>
      <c r="C106" s="1" t="s">
        <v>19</v>
      </c>
      <c r="D106" s="5" t="s">
        <v>206</v>
      </c>
      <c r="E106" s="3">
        <v>250874</v>
      </c>
      <c r="F106" s="7">
        <v>39895</v>
      </c>
      <c r="G106" s="7">
        <v>20000</v>
      </c>
      <c r="H106" s="11">
        <f>F106-G106</f>
        <v>19895</v>
      </c>
      <c r="J106">
        <v>19895</v>
      </c>
    </row>
    <row r="107" spans="1:10" x14ac:dyDescent="0.25">
      <c r="A107" s="1">
        <v>105</v>
      </c>
      <c r="B107" s="1" t="s">
        <v>171</v>
      </c>
      <c r="C107" s="1" t="s">
        <v>172</v>
      </c>
      <c r="D107" s="5" t="s">
        <v>206</v>
      </c>
      <c r="E107" s="3">
        <v>250875</v>
      </c>
      <c r="F107" s="7">
        <v>24663</v>
      </c>
      <c r="G107" s="7">
        <v>12500</v>
      </c>
      <c r="H107" s="11">
        <f>F107-G107</f>
        <v>12163</v>
      </c>
      <c r="J107">
        <v>2137</v>
      </c>
    </row>
    <row r="108" spans="1:10" x14ac:dyDescent="0.25">
      <c r="A108" s="1">
        <v>106</v>
      </c>
      <c r="B108" s="1" t="s">
        <v>74</v>
      </c>
      <c r="C108" s="1" t="s">
        <v>173</v>
      </c>
      <c r="D108" s="5" t="s">
        <v>207</v>
      </c>
      <c r="E108" s="3">
        <v>250887</v>
      </c>
      <c r="F108" s="7">
        <v>37609</v>
      </c>
      <c r="G108" s="7">
        <v>16806</v>
      </c>
      <c r="H108" s="11">
        <f>F108-G108</f>
        <v>20803</v>
      </c>
      <c r="J108">
        <v>12803</v>
      </c>
    </row>
    <row r="109" spans="1:10" x14ac:dyDescent="0.25">
      <c r="A109" s="1">
        <v>107</v>
      </c>
      <c r="B109" s="1" t="s">
        <v>174</v>
      </c>
      <c r="C109" s="1" t="s">
        <v>45</v>
      </c>
      <c r="D109" s="5" t="s">
        <v>208</v>
      </c>
      <c r="E109" s="3">
        <v>250899</v>
      </c>
      <c r="F109" s="7">
        <v>59793</v>
      </c>
      <c r="G109" s="7">
        <v>23500</v>
      </c>
      <c r="H109" s="11">
        <f>F109-G109</f>
        <v>36293</v>
      </c>
      <c r="J109">
        <v>15000</v>
      </c>
    </row>
    <row r="110" spans="1:10" x14ac:dyDescent="0.25">
      <c r="A110" s="1">
        <v>108</v>
      </c>
      <c r="B110" s="1" t="s">
        <v>175</v>
      </c>
      <c r="C110" s="1" t="s">
        <v>154</v>
      </c>
      <c r="D110" s="5" t="s">
        <v>209</v>
      </c>
      <c r="E110" s="3">
        <v>250938</v>
      </c>
      <c r="F110" s="7">
        <v>7737</v>
      </c>
      <c r="G110" s="7">
        <f t="shared" si="2"/>
        <v>0</v>
      </c>
      <c r="H110" s="7">
        <v>7737</v>
      </c>
    </row>
    <row r="111" spans="1:10" x14ac:dyDescent="0.25">
      <c r="A111" s="1">
        <v>109</v>
      </c>
      <c r="B111" s="1" t="s">
        <v>85</v>
      </c>
      <c r="C111" s="1" t="s">
        <v>164</v>
      </c>
      <c r="D111" s="5" t="s">
        <v>209</v>
      </c>
      <c r="E111" s="3">
        <v>250941</v>
      </c>
      <c r="F111" s="7">
        <v>31950</v>
      </c>
      <c r="G111" s="7">
        <v>5000</v>
      </c>
      <c r="H111" s="7">
        <f>F111-G111</f>
        <v>26950</v>
      </c>
      <c r="J111" s="15">
        <v>26950</v>
      </c>
    </row>
    <row r="112" spans="1:10" x14ac:dyDescent="0.25">
      <c r="A112" s="1">
        <v>110</v>
      </c>
      <c r="B112" s="1" t="s">
        <v>176</v>
      </c>
      <c r="C112" s="1" t="s">
        <v>177</v>
      </c>
      <c r="D112" s="5" t="s">
        <v>210</v>
      </c>
      <c r="E112" s="3">
        <v>2501459</v>
      </c>
      <c r="F112" s="7">
        <v>15350</v>
      </c>
      <c r="G112" s="7">
        <v>15296</v>
      </c>
      <c r="H112" s="7">
        <f>F112-G112</f>
        <v>54</v>
      </c>
    </row>
    <row r="113" spans="1:12" x14ac:dyDescent="0.25">
      <c r="A113" s="1">
        <v>111</v>
      </c>
      <c r="B113" s="1" t="s">
        <v>178</v>
      </c>
      <c r="C113" s="1" t="s">
        <v>45</v>
      </c>
      <c r="D113" s="5" t="s">
        <v>210</v>
      </c>
      <c r="E113" s="3">
        <v>2501460</v>
      </c>
      <c r="F113" s="7">
        <v>291384</v>
      </c>
      <c r="G113" s="7">
        <f t="shared" si="2"/>
        <v>0</v>
      </c>
      <c r="H113" s="7">
        <v>291384</v>
      </c>
    </row>
    <row r="114" spans="1:12" x14ac:dyDescent="0.25">
      <c r="A114" s="1">
        <v>112</v>
      </c>
      <c r="B114" s="1" t="s">
        <v>39</v>
      </c>
      <c r="C114" s="1" t="s">
        <v>19</v>
      </c>
      <c r="D114" s="5" t="s">
        <v>211</v>
      </c>
      <c r="E114" s="3">
        <v>250952</v>
      </c>
      <c r="F114" s="7">
        <v>8073</v>
      </c>
      <c r="G114" s="7">
        <v>5000</v>
      </c>
      <c r="H114" s="7">
        <f t="shared" ref="H114:H121" si="4">F114-G114</f>
        <v>3073</v>
      </c>
      <c r="J114" s="15">
        <v>3073</v>
      </c>
    </row>
    <row r="115" spans="1:12" x14ac:dyDescent="0.25">
      <c r="A115" s="1">
        <v>113</v>
      </c>
      <c r="B115" s="1" t="s">
        <v>179</v>
      </c>
      <c r="C115" s="1" t="s">
        <v>19</v>
      </c>
      <c r="D115" s="5" t="s">
        <v>211</v>
      </c>
      <c r="E115" s="3">
        <v>250956</v>
      </c>
      <c r="F115" s="7">
        <v>22431</v>
      </c>
      <c r="G115" s="7">
        <v>15000</v>
      </c>
      <c r="H115" s="7">
        <f t="shared" si="4"/>
        <v>7431</v>
      </c>
      <c r="J115" s="15">
        <v>5000</v>
      </c>
    </row>
    <row r="116" spans="1:12" x14ac:dyDescent="0.25">
      <c r="A116" s="1">
        <v>114</v>
      </c>
      <c r="B116" s="1" t="s">
        <v>180</v>
      </c>
      <c r="C116" s="1" t="s">
        <v>81</v>
      </c>
      <c r="D116" s="5" t="s">
        <v>212</v>
      </c>
      <c r="E116" s="3">
        <v>250960</v>
      </c>
      <c r="F116" s="7">
        <v>8073</v>
      </c>
      <c r="G116" s="7">
        <v>1530</v>
      </c>
      <c r="H116" s="7">
        <f t="shared" si="4"/>
        <v>6543</v>
      </c>
      <c r="J116" s="15">
        <v>6543</v>
      </c>
    </row>
    <row r="117" spans="1:12" x14ac:dyDescent="0.25">
      <c r="A117" s="1">
        <v>115</v>
      </c>
      <c r="B117" s="1" t="s">
        <v>99</v>
      </c>
      <c r="C117" s="1" t="s">
        <v>105</v>
      </c>
      <c r="D117" s="5" t="s">
        <v>212</v>
      </c>
      <c r="E117" s="3">
        <v>250965</v>
      </c>
      <c r="F117" s="7">
        <v>8035</v>
      </c>
      <c r="G117" s="7">
        <v>2035</v>
      </c>
      <c r="H117" s="7">
        <f t="shared" si="4"/>
        <v>6000</v>
      </c>
      <c r="J117" s="15">
        <v>6000</v>
      </c>
    </row>
    <row r="118" spans="1:12" x14ac:dyDescent="0.25">
      <c r="A118" s="1">
        <v>116</v>
      </c>
      <c r="B118" s="1" t="s">
        <v>21</v>
      </c>
      <c r="C118" s="1" t="s">
        <v>150</v>
      </c>
      <c r="D118" s="5" t="s">
        <v>212</v>
      </c>
      <c r="E118" s="3">
        <v>250967</v>
      </c>
      <c r="F118" s="7">
        <v>29575</v>
      </c>
      <c r="G118" s="7">
        <v>4120</v>
      </c>
      <c r="H118" s="7">
        <f t="shared" si="4"/>
        <v>25455</v>
      </c>
      <c r="J118" s="15">
        <v>25455</v>
      </c>
    </row>
    <row r="119" spans="1:12" x14ac:dyDescent="0.25">
      <c r="A119" s="1">
        <v>117</v>
      </c>
      <c r="B119" s="1" t="s">
        <v>7</v>
      </c>
      <c r="C119" s="1" t="s">
        <v>62</v>
      </c>
      <c r="D119" s="5" t="s">
        <v>212</v>
      </c>
      <c r="E119" s="3">
        <v>250966</v>
      </c>
      <c r="F119" s="7">
        <v>28255</v>
      </c>
      <c r="G119" s="7">
        <v>18255</v>
      </c>
      <c r="H119" s="7">
        <f t="shared" si="4"/>
        <v>10000</v>
      </c>
      <c r="J119" s="17">
        <v>10000</v>
      </c>
    </row>
    <row r="120" spans="1:12" x14ac:dyDescent="0.25">
      <c r="A120" s="1">
        <v>118</v>
      </c>
      <c r="B120" s="1" t="s">
        <v>181</v>
      </c>
      <c r="C120" s="1" t="s">
        <v>139</v>
      </c>
      <c r="D120" s="5" t="s">
        <v>212</v>
      </c>
      <c r="E120" s="3">
        <v>250968</v>
      </c>
      <c r="F120" s="7">
        <v>11708</v>
      </c>
      <c r="G120" s="7">
        <v>5000</v>
      </c>
      <c r="H120" s="7">
        <f t="shared" si="4"/>
        <v>6708</v>
      </c>
    </row>
    <row r="121" spans="1:12" x14ac:dyDescent="0.25">
      <c r="A121" s="1">
        <v>119</v>
      </c>
      <c r="B121" s="1" t="s">
        <v>104</v>
      </c>
      <c r="C121" s="1" t="s">
        <v>105</v>
      </c>
      <c r="D121" s="5" t="s">
        <v>213</v>
      </c>
      <c r="E121" s="3">
        <v>250989</v>
      </c>
      <c r="F121" s="7">
        <v>20701</v>
      </c>
      <c r="G121" s="7">
        <v>17701</v>
      </c>
      <c r="H121" s="7">
        <f t="shared" si="4"/>
        <v>3000</v>
      </c>
      <c r="J121" s="17">
        <v>3000</v>
      </c>
    </row>
    <row r="122" spans="1:12" x14ac:dyDescent="0.25">
      <c r="A122" s="1">
        <v>120</v>
      </c>
      <c r="B122" s="1" t="s">
        <v>182</v>
      </c>
      <c r="C122" s="1" t="s">
        <v>183</v>
      </c>
      <c r="D122" s="5" t="s">
        <v>214</v>
      </c>
      <c r="E122" s="3">
        <v>250999</v>
      </c>
      <c r="F122" s="7">
        <v>6696</v>
      </c>
      <c r="G122" s="7">
        <f t="shared" si="2"/>
        <v>0</v>
      </c>
      <c r="H122" s="7">
        <v>6696</v>
      </c>
      <c r="J122" s="17">
        <v>6696</v>
      </c>
    </row>
    <row r="123" spans="1:12" x14ac:dyDescent="0.25">
      <c r="A123" s="1">
        <v>121</v>
      </c>
      <c r="B123" s="1" t="s">
        <v>98</v>
      </c>
      <c r="C123" s="1" t="s">
        <v>150</v>
      </c>
      <c r="D123" s="5" t="s">
        <v>215</v>
      </c>
      <c r="E123" s="3">
        <v>2501031</v>
      </c>
      <c r="F123" s="7">
        <v>40809</v>
      </c>
      <c r="G123" s="7">
        <v>35809</v>
      </c>
      <c r="H123" s="7">
        <f>F123-G123</f>
        <v>5000</v>
      </c>
      <c r="J123" s="15">
        <v>5000</v>
      </c>
    </row>
    <row r="124" spans="1:12" x14ac:dyDescent="0.25">
      <c r="A124" s="1">
        <v>122</v>
      </c>
      <c r="B124" s="1" t="s">
        <v>184</v>
      </c>
      <c r="C124" s="1" t="s">
        <v>81</v>
      </c>
      <c r="D124" s="5" t="s">
        <v>215</v>
      </c>
      <c r="E124" s="3">
        <v>2501040</v>
      </c>
      <c r="F124" s="7">
        <v>22331</v>
      </c>
      <c r="G124" s="7">
        <v>20831</v>
      </c>
      <c r="H124" s="7">
        <f>F124-G124</f>
        <v>1500</v>
      </c>
    </row>
    <row r="125" spans="1:12" x14ac:dyDescent="0.25">
      <c r="A125" s="1">
        <v>123</v>
      </c>
      <c r="B125" s="1" t="s">
        <v>82</v>
      </c>
      <c r="C125" s="1" t="s">
        <v>45</v>
      </c>
      <c r="D125" s="5" t="s">
        <v>216</v>
      </c>
      <c r="E125" s="3">
        <v>2501049</v>
      </c>
      <c r="F125" s="7">
        <v>14127</v>
      </c>
      <c r="G125" s="7">
        <f t="shared" si="2"/>
        <v>0</v>
      </c>
      <c r="H125" s="7">
        <v>14127</v>
      </c>
      <c r="J125" s="17">
        <v>14127</v>
      </c>
    </row>
    <row r="126" spans="1:12" x14ac:dyDescent="0.25">
      <c r="A126" s="1">
        <v>124</v>
      </c>
      <c r="B126" s="1" t="s">
        <v>185</v>
      </c>
      <c r="C126" s="1" t="s">
        <v>105</v>
      </c>
      <c r="D126" s="5" t="s">
        <v>217</v>
      </c>
      <c r="E126" s="3">
        <v>2501105</v>
      </c>
      <c r="F126" s="7">
        <v>29807</v>
      </c>
      <c r="G126" s="7">
        <f t="shared" si="2"/>
        <v>0</v>
      </c>
      <c r="H126" s="7">
        <v>29807</v>
      </c>
      <c r="J126" s="17">
        <v>29807</v>
      </c>
    </row>
    <row r="127" spans="1:12" x14ac:dyDescent="0.25">
      <c r="A127" s="1">
        <v>125</v>
      </c>
      <c r="B127" s="1" t="s">
        <v>41</v>
      </c>
      <c r="C127" s="1" t="s">
        <v>186</v>
      </c>
      <c r="D127" s="5" t="s">
        <v>217</v>
      </c>
      <c r="E127" s="3">
        <v>2501101</v>
      </c>
      <c r="F127" s="7">
        <v>20182</v>
      </c>
      <c r="G127" s="7">
        <f t="shared" si="2"/>
        <v>0</v>
      </c>
      <c r="H127" s="7">
        <v>20182</v>
      </c>
      <c r="J127" s="15">
        <v>20182</v>
      </c>
      <c r="L127">
        <v>19912</v>
      </c>
    </row>
    <row r="128" spans="1:12" x14ac:dyDescent="0.25">
      <c r="A128" s="1">
        <v>126</v>
      </c>
      <c r="B128" s="1" t="s">
        <v>98</v>
      </c>
      <c r="C128" s="1" t="s">
        <v>150</v>
      </c>
      <c r="D128" s="5" t="s">
        <v>217</v>
      </c>
      <c r="E128" s="3">
        <v>25011663</v>
      </c>
      <c r="F128" s="7">
        <v>7899</v>
      </c>
      <c r="G128" s="7">
        <v>4424</v>
      </c>
      <c r="H128" s="7">
        <f>F128-G128</f>
        <v>3475</v>
      </c>
    </row>
    <row r="129" spans="1:12" x14ac:dyDescent="0.25">
      <c r="A129" s="1">
        <v>127</v>
      </c>
      <c r="B129" s="1" t="s">
        <v>221</v>
      </c>
      <c r="C129" s="1" t="s">
        <v>62</v>
      </c>
      <c r="D129" s="5" t="s">
        <v>218</v>
      </c>
      <c r="E129" s="3">
        <v>2501154</v>
      </c>
      <c r="F129" s="7">
        <v>121454</v>
      </c>
      <c r="G129" s="7">
        <v>111454</v>
      </c>
      <c r="H129" s="7">
        <f>F129-G129</f>
        <v>10000</v>
      </c>
      <c r="J129" s="15">
        <v>10000</v>
      </c>
    </row>
    <row r="130" spans="1:12" x14ac:dyDescent="0.25">
      <c r="A130" s="1">
        <v>128</v>
      </c>
      <c r="B130" s="1" t="s">
        <v>170</v>
      </c>
      <c r="C130" s="1" t="s">
        <v>31</v>
      </c>
      <c r="D130" s="5" t="s">
        <v>219</v>
      </c>
      <c r="E130" s="3">
        <v>2501223</v>
      </c>
      <c r="F130" s="7">
        <v>29369</v>
      </c>
      <c r="G130" s="7">
        <f t="shared" si="2"/>
        <v>0</v>
      </c>
      <c r="H130" s="7">
        <v>29369</v>
      </c>
      <c r="J130" s="17">
        <v>29369</v>
      </c>
    </row>
    <row r="131" spans="1:12" x14ac:dyDescent="0.25">
      <c r="A131" s="1">
        <v>129</v>
      </c>
      <c r="B131" s="1" t="s">
        <v>187</v>
      </c>
      <c r="C131" s="1" t="s">
        <v>115</v>
      </c>
      <c r="D131" s="5" t="s">
        <v>220</v>
      </c>
      <c r="E131" s="3">
        <v>2501242</v>
      </c>
      <c r="F131" s="7">
        <v>10298</v>
      </c>
      <c r="G131" s="7">
        <v>3298</v>
      </c>
      <c r="H131" s="7">
        <f>F131-G131</f>
        <v>7000</v>
      </c>
      <c r="J131" s="15">
        <v>298</v>
      </c>
      <c r="L131">
        <v>30273</v>
      </c>
    </row>
    <row r="132" spans="1:12" x14ac:dyDescent="0.25">
      <c r="A132" s="1">
        <v>130</v>
      </c>
      <c r="B132" s="1" t="s">
        <v>168</v>
      </c>
      <c r="C132" s="1" t="s">
        <v>19</v>
      </c>
      <c r="D132" s="5" t="s">
        <v>220</v>
      </c>
      <c r="E132" s="3">
        <v>2501234</v>
      </c>
      <c r="F132" s="7">
        <v>47514</v>
      </c>
      <c r="G132" s="7">
        <v>37500</v>
      </c>
      <c r="H132" s="7">
        <f>F132-G132</f>
        <v>10014</v>
      </c>
      <c r="J132" s="15">
        <v>10014</v>
      </c>
      <c r="L132">
        <v>4896</v>
      </c>
    </row>
    <row r="133" spans="1:12" x14ac:dyDescent="0.25">
      <c r="A133" s="2"/>
      <c r="B133" s="2" t="s">
        <v>4</v>
      </c>
      <c r="C133" s="2"/>
      <c r="D133" s="2"/>
      <c r="E133" s="2"/>
      <c r="F133" s="8">
        <f>SUM(F3:F132)</f>
        <v>3223135</v>
      </c>
      <c r="G133" s="8">
        <f>SUM(G3:G132)</f>
        <v>1785811</v>
      </c>
      <c r="H133" s="8">
        <f>SUM(H3:H132)</f>
        <v>1437324</v>
      </c>
    </row>
  </sheetData>
  <mergeCells count="1">
    <mergeCell ref="A1:H1"/>
  </mergeCells>
  <pageMargins left="0.7" right="0.7" top="0.75" bottom="0.75" header="0.3" footer="0.3"/>
  <pageSetup paperSize="9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Regal PC</dc:creator>
  <cp:lastModifiedBy>NEXTGEN</cp:lastModifiedBy>
  <cp:lastPrinted>2025-06-10T07:58:42Z</cp:lastPrinted>
  <dcterms:created xsi:type="dcterms:W3CDTF">2025-06-10T03:24:20Z</dcterms:created>
  <dcterms:modified xsi:type="dcterms:W3CDTF">2026-06-15T03:51:02Z</dcterms:modified>
</cp:coreProperties>
</file>